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303275-9B24-463B-A108-D902D7F7F233}" xr6:coauthVersionLast="47" xr6:coauthVersionMax="47" xr10:uidLastSave="{00000000-0000-0000-0000-000000000000}"/>
  <bookViews>
    <workbookView xWindow="-120" yWindow="-120" windowWidth="19440" windowHeight="14880" activeTab="5" xr2:uid="{0E315487-FEB2-49D0-A553-A6992E5CC59A}"/>
  </bookViews>
  <sheets>
    <sheet name="CODES" sheetId="10" r:id="rId1"/>
    <sheet name="Chicken Prjects -BROILERS" sheetId="1" r:id="rId2"/>
    <sheet name="Chicken Prjects - LAYERS" sheetId="2" r:id="rId3"/>
    <sheet name="Agric Machines -INCUBATORS" sheetId="9" r:id="rId4"/>
    <sheet name="Events Man- PA systems" sheetId="12" r:id="rId5"/>
    <sheet name="Entertainment - Bar Equipment" sheetId="11" r:id="rId6"/>
    <sheet name="Events Man -VENUE SET UP" sheetId="13" r:id="rId7"/>
    <sheet name="Tailoring -SEWING MACHINES" sheetId="14" r:id="rId8"/>
    <sheet name="Personal Dev-DRIVERS LICENSE" sheetId="15" r:id="rId9"/>
    <sheet name="Cleaning Service-Car wash" sheetId="18" r:id="rId10"/>
    <sheet name="PERSONAL DEVELOPMENT" sheetId="19" r:id="rId11"/>
    <sheet name="SALOON EQUIPMENT" sheetId="7" r:id="rId12"/>
    <sheet name="BARBER" sheetId="3" r:id="rId13"/>
    <sheet name="BRAIDING ,WEAVING,WIG INSTAL" sheetId="4" r:id="rId14"/>
    <sheet name="NAILS" sheetId="5" r:id="rId15"/>
    <sheet name="MEDIA PRODUCTION-Photography" sheetId="21" r:id="rId16"/>
    <sheet name="Events management -catering" sheetId="22" r:id="rId17"/>
    <sheet name="Events Man -Vediography&amp;Photog" sheetId="2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" i="22" l="1"/>
  <c r="O25" i="22"/>
  <c r="L25" i="22"/>
  <c r="I25" i="22"/>
  <c r="R24" i="22"/>
  <c r="O24" i="22"/>
  <c r="L24" i="22"/>
  <c r="I24" i="22"/>
  <c r="R23" i="22"/>
  <c r="O23" i="22"/>
  <c r="L23" i="22"/>
  <c r="I23" i="22"/>
  <c r="R22" i="22"/>
  <c r="O22" i="22"/>
  <c r="L22" i="22"/>
  <c r="I22" i="22"/>
  <c r="R21" i="22"/>
  <c r="O21" i="22"/>
  <c r="L21" i="22"/>
  <c r="I21" i="22"/>
  <c r="R20" i="22"/>
  <c r="O20" i="22"/>
  <c r="L20" i="22"/>
  <c r="R19" i="22"/>
  <c r="O19" i="22"/>
  <c r="L19" i="22"/>
  <c r="R18" i="22"/>
  <c r="O18" i="22"/>
  <c r="L18" i="22"/>
  <c r="R17" i="22"/>
  <c r="O17" i="22"/>
  <c r="L17" i="22"/>
  <c r="I17" i="22"/>
  <c r="R16" i="22"/>
  <c r="O16" i="22"/>
  <c r="L16" i="22"/>
  <c r="I16" i="22"/>
  <c r="R15" i="22"/>
  <c r="O15" i="22"/>
  <c r="L15" i="22"/>
  <c r="I15" i="22"/>
  <c r="R14" i="22"/>
  <c r="O14" i="22"/>
  <c r="L14" i="22"/>
  <c r="I14" i="22"/>
  <c r="R13" i="22"/>
  <c r="O13" i="22"/>
  <c r="L13" i="22"/>
  <c r="I13" i="22"/>
  <c r="R12" i="22"/>
  <c r="O12" i="22"/>
  <c r="L12" i="22"/>
  <c r="I12" i="22"/>
  <c r="R11" i="22"/>
  <c r="O11" i="22"/>
  <c r="L11" i="22"/>
  <c r="I11" i="22"/>
  <c r="R10" i="22"/>
  <c r="O10" i="22"/>
  <c r="L10" i="22"/>
  <c r="I10" i="22"/>
  <c r="R9" i="22"/>
  <c r="O9" i="22"/>
  <c r="L9" i="22"/>
  <c r="I9" i="22"/>
  <c r="O33" i="22" l="1"/>
  <c r="I33" i="22"/>
  <c r="L33" i="22"/>
  <c r="R33" i="22"/>
  <c r="R23" i="21" l="1"/>
  <c r="R24" i="21"/>
  <c r="O23" i="21"/>
  <c r="O24" i="21"/>
  <c r="L22" i="21"/>
  <c r="L23" i="21"/>
  <c r="L24" i="21"/>
  <c r="I22" i="21"/>
  <c r="I23" i="21"/>
  <c r="I24" i="21"/>
  <c r="R18" i="21"/>
  <c r="O18" i="21"/>
  <c r="L18" i="21"/>
  <c r="L19" i="21"/>
  <c r="R8" i="21"/>
  <c r="R9" i="21"/>
  <c r="R10" i="21"/>
  <c r="R11" i="21"/>
  <c r="R12" i="21"/>
  <c r="R13" i="21"/>
  <c r="R14" i="21"/>
  <c r="R15" i="21"/>
  <c r="R16" i="21"/>
  <c r="R17" i="21"/>
  <c r="R19" i="21"/>
  <c r="R20" i="21"/>
  <c r="R21" i="21"/>
  <c r="R22" i="21"/>
  <c r="L8" i="21"/>
  <c r="L9" i="21"/>
  <c r="L10" i="21"/>
  <c r="L11" i="21"/>
  <c r="L12" i="21"/>
  <c r="L13" i="21"/>
  <c r="L14" i="21"/>
  <c r="L15" i="21"/>
  <c r="L16" i="21"/>
  <c r="L17" i="21"/>
  <c r="L20" i="21"/>
  <c r="L21" i="21"/>
  <c r="I21" i="21"/>
  <c r="O21" i="21"/>
  <c r="I10" i="21"/>
  <c r="O10" i="21"/>
  <c r="I12" i="21"/>
  <c r="O12" i="21"/>
  <c r="I11" i="21"/>
  <c r="O11" i="21"/>
  <c r="O8" i="21"/>
  <c r="O9" i="21"/>
  <c r="O13" i="21"/>
  <c r="O14" i="21"/>
  <c r="O15" i="21"/>
  <c r="O16" i="21"/>
  <c r="O17" i="21"/>
  <c r="O19" i="21"/>
  <c r="O20" i="21"/>
  <c r="O22" i="21"/>
  <c r="I16" i="21"/>
  <c r="I15" i="21"/>
  <c r="I14" i="21"/>
  <c r="I13" i="21"/>
  <c r="I9" i="21"/>
  <c r="I8" i="21"/>
  <c r="I20" i="21"/>
  <c r="I20" i="20"/>
  <c r="L20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8" i="20"/>
  <c r="I19" i="20"/>
  <c r="L19" i="20"/>
  <c r="I18" i="20"/>
  <c r="L18" i="20"/>
  <c r="L9" i="20"/>
  <c r="L10" i="20"/>
  <c r="L11" i="20"/>
  <c r="L12" i="20"/>
  <c r="L13" i="20"/>
  <c r="L14" i="20"/>
  <c r="L15" i="20"/>
  <c r="L16" i="20"/>
  <c r="L17" i="20"/>
  <c r="L21" i="20"/>
  <c r="L22" i="20"/>
  <c r="L23" i="20"/>
  <c r="L24" i="20"/>
  <c r="L8" i="20"/>
  <c r="I9" i="20"/>
  <c r="I10" i="20"/>
  <c r="I11" i="20"/>
  <c r="I12" i="20"/>
  <c r="I13" i="20"/>
  <c r="I14" i="20"/>
  <c r="I15" i="20"/>
  <c r="I16" i="20"/>
  <c r="I17" i="20"/>
  <c r="I21" i="20"/>
  <c r="I22" i="20"/>
  <c r="I23" i="20"/>
  <c r="I24" i="20"/>
  <c r="I8" i="20"/>
  <c r="N47" i="5"/>
  <c r="N48" i="5"/>
  <c r="O48" i="5" s="1"/>
  <c r="N49" i="5"/>
  <c r="O49" i="5" s="1"/>
  <c r="N50" i="5"/>
  <c r="O50" i="5" s="1"/>
  <c r="N51" i="5"/>
  <c r="N52" i="5"/>
  <c r="O52" i="5" s="1"/>
  <c r="N53" i="5"/>
  <c r="N54" i="5"/>
  <c r="O54" i="5" s="1"/>
  <c r="N55" i="5"/>
  <c r="N56" i="5"/>
  <c r="O56" i="5" s="1"/>
  <c r="N57" i="5"/>
  <c r="O57" i="5" s="1"/>
  <c r="N58" i="5"/>
  <c r="O58" i="5" s="1"/>
  <c r="N59" i="5"/>
  <c r="N60" i="5"/>
  <c r="O60" i="5" s="1"/>
  <c r="N61" i="5"/>
  <c r="N62" i="5"/>
  <c r="O62" i="5" s="1"/>
  <c r="N63" i="5"/>
  <c r="N64" i="5"/>
  <c r="O64" i="5" s="1"/>
  <c r="N65" i="5"/>
  <c r="O65" i="5" s="1"/>
  <c r="N66" i="5"/>
  <c r="O66" i="5" s="1"/>
  <c r="N46" i="5"/>
  <c r="O46" i="5" s="1"/>
  <c r="O9" i="5"/>
  <c r="O10" i="5"/>
  <c r="O11" i="5"/>
  <c r="O12" i="5"/>
  <c r="O13" i="5"/>
  <c r="O14" i="5"/>
  <c r="O15" i="5"/>
  <c r="O16" i="5"/>
  <c r="O17" i="5"/>
  <c r="O18" i="5"/>
  <c r="O19" i="5"/>
  <c r="O27" i="5"/>
  <c r="O35" i="5"/>
  <c r="O43" i="5"/>
  <c r="O47" i="5"/>
  <c r="O51" i="5"/>
  <c r="O53" i="5"/>
  <c r="O55" i="5"/>
  <c r="O59" i="5"/>
  <c r="O61" i="5"/>
  <c r="O63" i="5"/>
  <c r="N25" i="5"/>
  <c r="O25" i="5" s="1"/>
  <c r="N26" i="5"/>
  <c r="O26" i="5" s="1"/>
  <c r="N27" i="5"/>
  <c r="N28" i="5"/>
  <c r="O28" i="5" s="1"/>
  <c r="N29" i="5"/>
  <c r="O29" i="5" s="1"/>
  <c r="N30" i="5"/>
  <c r="O30" i="5" s="1"/>
  <c r="N31" i="5"/>
  <c r="O31" i="5" s="1"/>
  <c r="N32" i="5"/>
  <c r="O32" i="5" s="1"/>
  <c r="N33" i="5"/>
  <c r="O33" i="5" s="1"/>
  <c r="N34" i="5"/>
  <c r="O34" i="5" s="1"/>
  <c r="N35" i="5"/>
  <c r="N36" i="5"/>
  <c r="O36" i="5" s="1"/>
  <c r="N37" i="5"/>
  <c r="O37" i="5" s="1"/>
  <c r="N38" i="5"/>
  <c r="O38" i="5" s="1"/>
  <c r="N39" i="5"/>
  <c r="O39" i="5" s="1"/>
  <c r="N40" i="5"/>
  <c r="O40" i="5" s="1"/>
  <c r="N41" i="5"/>
  <c r="O41" i="5" s="1"/>
  <c r="N42" i="5"/>
  <c r="O42" i="5" s="1"/>
  <c r="N43" i="5"/>
  <c r="N24" i="5"/>
  <c r="O24" i="5" s="1"/>
  <c r="N23" i="5"/>
  <c r="O23" i="5" s="1"/>
  <c r="O8" i="5"/>
  <c r="K25" i="5"/>
  <c r="L25" i="5" s="1"/>
  <c r="K26" i="5"/>
  <c r="L26" i="5" s="1"/>
  <c r="K27" i="5"/>
  <c r="K28" i="5"/>
  <c r="L28" i="5" s="1"/>
  <c r="K29" i="5"/>
  <c r="L29" i="5" s="1"/>
  <c r="K30" i="5"/>
  <c r="L30" i="5" s="1"/>
  <c r="K31" i="5"/>
  <c r="K32" i="5"/>
  <c r="L32" i="5" s="1"/>
  <c r="K33" i="5"/>
  <c r="K34" i="5"/>
  <c r="L34" i="5" s="1"/>
  <c r="K35" i="5"/>
  <c r="L35" i="5" s="1"/>
  <c r="K36" i="5"/>
  <c r="L36" i="5" s="1"/>
  <c r="K37" i="5"/>
  <c r="L37" i="5" s="1"/>
  <c r="K38" i="5"/>
  <c r="L38" i="5" s="1"/>
  <c r="K39" i="5"/>
  <c r="K40" i="5"/>
  <c r="L40" i="5" s="1"/>
  <c r="K41" i="5"/>
  <c r="K42" i="5"/>
  <c r="L42" i="5" s="1"/>
  <c r="K43" i="5"/>
  <c r="K24" i="5"/>
  <c r="L24" i="5" s="1"/>
  <c r="K23" i="5"/>
  <c r="L23" i="5" s="1"/>
  <c r="L27" i="5"/>
  <c r="L31" i="5"/>
  <c r="L33" i="5"/>
  <c r="L39" i="5"/>
  <c r="L41" i="5"/>
  <c r="L43" i="5"/>
  <c r="L9" i="5"/>
  <c r="L10" i="5"/>
  <c r="L11" i="5"/>
  <c r="L12" i="5"/>
  <c r="L13" i="5"/>
  <c r="L14" i="5"/>
  <c r="L15" i="5"/>
  <c r="L16" i="5"/>
  <c r="L17" i="5"/>
  <c r="L18" i="5"/>
  <c r="L19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8" i="5"/>
  <c r="I8" i="5"/>
  <c r="I9" i="5"/>
  <c r="I10" i="5"/>
  <c r="I11" i="5"/>
  <c r="I12" i="5"/>
  <c r="I13" i="5"/>
  <c r="I14" i="5"/>
  <c r="I15" i="5"/>
  <c r="I16" i="5"/>
  <c r="I17" i="5"/>
  <c r="I18" i="5"/>
  <c r="I19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6" i="4"/>
  <c r="O37" i="4"/>
  <c r="O38" i="4"/>
  <c r="O39" i="4"/>
  <c r="O40" i="4"/>
  <c r="O41" i="4"/>
  <c r="O42" i="4"/>
  <c r="O43" i="4"/>
  <c r="O44" i="4"/>
  <c r="O45" i="4"/>
  <c r="O46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6" i="4"/>
  <c r="L37" i="4"/>
  <c r="L38" i="4"/>
  <c r="L39" i="4"/>
  <c r="L40" i="4"/>
  <c r="L41" i="4"/>
  <c r="L42" i="4"/>
  <c r="L43" i="4"/>
  <c r="L44" i="4"/>
  <c r="L45" i="4"/>
  <c r="L46" i="4"/>
  <c r="L9" i="4"/>
  <c r="I12" i="4"/>
  <c r="I13" i="4"/>
  <c r="I10" i="4"/>
  <c r="I11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6" i="4"/>
  <c r="I37" i="4"/>
  <c r="I38" i="4"/>
  <c r="I39" i="4"/>
  <c r="I40" i="4"/>
  <c r="I41" i="4"/>
  <c r="I42" i="4"/>
  <c r="I43" i="4"/>
  <c r="I44" i="4"/>
  <c r="I45" i="4"/>
  <c r="I46" i="4"/>
  <c r="I9" i="4"/>
  <c r="O34" i="3"/>
  <c r="O33" i="3"/>
  <c r="L34" i="3"/>
  <c r="L33" i="3"/>
  <c r="I34" i="3"/>
  <c r="I33" i="3"/>
  <c r="R8" i="3"/>
  <c r="R9" i="3"/>
  <c r="R10" i="3"/>
  <c r="R11" i="3"/>
  <c r="R12" i="3"/>
  <c r="R13" i="3"/>
  <c r="R14" i="3"/>
  <c r="R15" i="3"/>
  <c r="R16" i="3"/>
  <c r="R17" i="3"/>
  <c r="R18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7" i="3"/>
  <c r="R38" i="3"/>
  <c r="R39" i="3"/>
  <c r="R40" i="3"/>
  <c r="R41" i="3"/>
  <c r="R42" i="3"/>
  <c r="R43" i="3"/>
  <c r="R44" i="3"/>
  <c r="R45" i="3"/>
  <c r="R46" i="3"/>
  <c r="R47" i="3"/>
  <c r="R7" i="3"/>
  <c r="L9" i="3"/>
  <c r="L10" i="3"/>
  <c r="I9" i="3"/>
  <c r="I10" i="3"/>
  <c r="O8" i="3"/>
  <c r="O11" i="3"/>
  <c r="O12" i="3"/>
  <c r="O14" i="3"/>
  <c r="O15" i="3"/>
  <c r="O16" i="3"/>
  <c r="O17" i="3"/>
  <c r="O18" i="3"/>
  <c r="O21" i="3"/>
  <c r="O22" i="3"/>
  <c r="O23" i="3"/>
  <c r="O24" i="3"/>
  <c r="O25" i="3"/>
  <c r="O26" i="3"/>
  <c r="O27" i="3"/>
  <c r="O28" i="3"/>
  <c r="O29" i="3"/>
  <c r="O30" i="3"/>
  <c r="O31" i="3"/>
  <c r="O32" i="3"/>
  <c r="O37" i="3"/>
  <c r="O38" i="3"/>
  <c r="O39" i="3"/>
  <c r="O40" i="3"/>
  <c r="O41" i="3"/>
  <c r="O42" i="3"/>
  <c r="O43" i="3"/>
  <c r="O44" i="3"/>
  <c r="O45" i="3"/>
  <c r="O46" i="3"/>
  <c r="O47" i="3"/>
  <c r="Q11" i="19"/>
  <c r="Q12" i="19"/>
  <c r="Q13" i="19"/>
  <c r="Q14" i="19"/>
  <c r="Q15" i="19"/>
  <c r="Q16" i="19"/>
  <c r="Q17" i="19"/>
  <c r="Q18" i="19"/>
  <c r="Q19" i="19"/>
  <c r="Q20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10" i="19"/>
  <c r="N11" i="19"/>
  <c r="N12" i="19"/>
  <c r="N13" i="19"/>
  <c r="N14" i="19"/>
  <c r="N15" i="19"/>
  <c r="N16" i="19"/>
  <c r="N19" i="19"/>
  <c r="N27" i="19"/>
  <c r="N28" i="19"/>
  <c r="N32" i="19"/>
  <c r="N33" i="19"/>
  <c r="N34" i="19"/>
  <c r="N36" i="19"/>
  <c r="N37" i="19"/>
  <c r="N38" i="19"/>
  <c r="N39" i="19"/>
  <c r="N40" i="19"/>
  <c r="N41" i="19"/>
  <c r="N42" i="19"/>
  <c r="N43" i="19"/>
  <c r="N44" i="19"/>
  <c r="N10" i="19"/>
  <c r="K11" i="19"/>
  <c r="K12" i="19"/>
  <c r="K13" i="19"/>
  <c r="K14" i="19"/>
  <c r="K15" i="19"/>
  <c r="K19" i="19"/>
  <c r="K27" i="19"/>
  <c r="K28" i="19"/>
  <c r="K32" i="19"/>
  <c r="K33" i="19"/>
  <c r="K34" i="19"/>
  <c r="K36" i="19"/>
  <c r="K38" i="19"/>
  <c r="K40" i="19"/>
  <c r="K42" i="19"/>
  <c r="K10" i="19"/>
  <c r="I13" i="19"/>
  <c r="I14" i="19"/>
  <c r="I11" i="19"/>
  <c r="I12" i="19"/>
  <c r="I15" i="19"/>
  <c r="I16" i="19"/>
  <c r="I19" i="19"/>
  <c r="I27" i="19"/>
  <c r="I28" i="19"/>
  <c r="I32" i="19"/>
  <c r="I33" i="19"/>
  <c r="I36" i="19"/>
  <c r="I38" i="19"/>
  <c r="I40" i="19"/>
  <c r="I42" i="19"/>
  <c r="I10" i="19"/>
  <c r="Q9" i="18"/>
  <c r="N9" i="18"/>
  <c r="Q16" i="18"/>
  <c r="N15" i="18"/>
  <c r="K15" i="18"/>
  <c r="Q8" i="18"/>
  <c r="Q11" i="18"/>
  <c r="Q12" i="18"/>
  <c r="Q10" i="18"/>
  <c r="Q13" i="18"/>
  <c r="Q14" i="18"/>
  <c r="Q15" i="18"/>
  <c r="N8" i="18"/>
  <c r="N11" i="18"/>
  <c r="N12" i="18"/>
  <c r="N10" i="18"/>
  <c r="N13" i="18"/>
  <c r="N14" i="18"/>
  <c r="N7" i="18"/>
  <c r="K8" i="18"/>
  <c r="K11" i="18"/>
  <c r="K12" i="18"/>
  <c r="K10" i="18"/>
  <c r="K13" i="18"/>
  <c r="K14" i="18"/>
  <c r="K7" i="18"/>
  <c r="H11" i="18"/>
  <c r="H7" i="18"/>
  <c r="O75" i="5" l="1"/>
  <c r="R32" i="21"/>
  <c r="O32" i="21"/>
  <c r="L32" i="21"/>
  <c r="I32" i="21"/>
  <c r="O30" i="20"/>
  <c r="R30" i="20"/>
  <c r="L30" i="20"/>
  <c r="I30" i="20"/>
  <c r="L75" i="5"/>
  <c r="I75" i="5"/>
  <c r="L56" i="4"/>
  <c r="N67" i="19"/>
  <c r="K67" i="19"/>
  <c r="I67" i="19"/>
  <c r="Q67" i="19"/>
  <c r="Q22" i="18"/>
  <c r="N22" i="18"/>
  <c r="H22" i="18"/>
  <c r="O9" i="4"/>
  <c r="O56" i="4" s="1"/>
  <c r="I10" i="7"/>
  <c r="I13" i="7"/>
  <c r="I14" i="7"/>
  <c r="I15" i="7"/>
  <c r="I16" i="7"/>
  <c r="I17" i="7"/>
  <c r="I18" i="7"/>
  <c r="I19" i="7"/>
  <c r="I20" i="7"/>
  <c r="I21" i="7"/>
  <c r="I22" i="7"/>
  <c r="I9" i="7"/>
  <c r="L10" i="7"/>
  <c r="L13" i="7"/>
  <c r="L14" i="7"/>
  <c r="L15" i="7"/>
  <c r="L16" i="7"/>
  <c r="L17" i="7"/>
  <c r="L18" i="7"/>
  <c r="L19" i="7"/>
  <c r="L20" i="7"/>
  <c r="L21" i="7"/>
  <c r="O10" i="7"/>
  <c r="O13" i="7"/>
  <c r="O14" i="7"/>
  <c r="O15" i="7"/>
  <c r="O16" i="7"/>
  <c r="O17" i="7"/>
  <c r="O18" i="7"/>
  <c r="O19" i="7"/>
  <c r="O20" i="7"/>
  <c r="O21" i="7"/>
  <c r="O22" i="7"/>
  <c r="R10" i="7"/>
  <c r="R13" i="7"/>
  <c r="R14" i="7"/>
  <c r="R15" i="7"/>
  <c r="R16" i="7"/>
  <c r="R17" i="7"/>
  <c r="R18" i="7"/>
  <c r="O7" i="3" l="1"/>
  <c r="L8" i="3"/>
  <c r="L11" i="3"/>
  <c r="L12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7" i="3"/>
  <c r="I8" i="3"/>
  <c r="I11" i="3"/>
  <c r="I12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7" i="3"/>
  <c r="I15" i="14"/>
  <c r="U15" i="14"/>
  <c r="R15" i="14"/>
  <c r="O15" i="14"/>
  <c r="U8" i="14"/>
  <c r="U9" i="14"/>
  <c r="U10" i="14"/>
  <c r="U11" i="14"/>
  <c r="U12" i="14"/>
  <c r="U13" i="14"/>
  <c r="U14" i="14"/>
  <c r="U16" i="14"/>
  <c r="U17" i="14"/>
  <c r="U18" i="14"/>
  <c r="U7" i="14"/>
  <c r="R8" i="14"/>
  <c r="R9" i="14"/>
  <c r="R10" i="14"/>
  <c r="R11" i="14"/>
  <c r="R12" i="14"/>
  <c r="R13" i="14"/>
  <c r="R14" i="14"/>
  <c r="R16" i="14"/>
  <c r="R17" i="14"/>
  <c r="R18" i="14"/>
  <c r="R7" i="14"/>
  <c r="O8" i="14"/>
  <c r="O9" i="14"/>
  <c r="O10" i="14"/>
  <c r="O11" i="14"/>
  <c r="O12" i="14"/>
  <c r="O13" i="14"/>
  <c r="O14" i="14"/>
  <c r="O16" i="14"/>
  <c r="O17" i="14"/>
  <c r="O18" i="14"/>
  <c r="O7" i="14"/>
  <c r="I18" i="14"/>
  <c r="L8" i="14"/>
  <c r="L9" i="14"/>
  <c r="L10" i="14"/>
  <c r="L11" i="14"/>
  <c r="L12" i="14"/>
  <c r="L13" i="14"/>
  <c r="L14" i="14"/>
  <c r="L16" i="14"/>
  <c r="L17" i="14"/>
  <c r="L18" i="14"/>
  <c r="L7" i="14"/>
  <c r="I9" i="14"/>
  <c r="I10" i="14"/>
  <c r="I8" i="14"/>
  <c r="I11" i="14"/>
  <c r="I12" i="14"/>
  <c r="I13" i="14"/>
  <c r="I14" i="14"/>
  <c r="I16" i="14"/>
  <c r="I17" i="14"/>
  <c r="I7" i="14"/>
  <c r="AA9" i="13"/>
  <c r="AA10" i="13"/>
  <c r="AA11" i="13"/>
  <c r="AA12" i="13"/>
  <c r="AA13" i="13"/>
  <c r="AA14" i="13"/>
  <c r="AA15" i="13"/>
  <c r="X9" i="13"/>
  <c r="X10" i="13"/>
  <c r="X11" i="13"/>
  <c r="X12" i="13"/>
  <c r="X13" i="13"/>
  <c r="X14" i="13"/>
  <c r="X15" i="13"/>
  <c r="U9" i="13"/>
  <c r="U10" i="13"/>
  <c r="U11" i="13"/>
  <c r="U12" i="13"/>
  <c r="U13" i="13"/>
  <c r="U14" i="13"/>
  <c r="U15" i="13"/>
  <c r="R10" i="13"/>
  <c r="R11" i="13"/>
  <c r="R12" i="13"/>
  <c r="R13" i="13"/>
  <c r="R14" i="13"/>
  <c r="R15" i="13"/>
  <c r="R9" i="13"/>
  <c r="R8" i="13"/>
  <c r="O9" i="13"/>
  <c r="O10" i="13"/>
  <c r="O11" i="13"/>
  <c r="O12" i="13"/>
  <c r="O13" i="13"/>
  <c r="O14" i="13"/>
  <c r="O15" i="13"/>
  <c r="L9" i="13"/>
  <c r="L10" i="13"/>
  <c r="L11" i="13"/>
  <c r="L12" i="13"/>
  <c r="L13" i="13"/>
  <c r="L14" i="13"/>
  <c r="L15" i="13"/>
  <c r="I9" i="13"/>
  <c r="I10" i="13"/>
  <c r="I11" i="13"/>
  <c r="I12" i="13"/>
  <c r="I13" i="13"/>
  <c r="I14" i="13"/>
  <c r="I15" i="13"/>
  <c r="R9" i="11"/>
  <c r="R10" i="11"/>
  <c r="R11" i="11"/>
  <c r="R12" i="11"/>
  <c r="R13" i="11"/>
  <c r="R14" i="11"/>
  <c r="R15" i="11"/>
  <c r="O9" i="11"/>
  <c r="O10" i="11"/>
  <c r="O11" i="11"/>
  <c r="O12" i="11"/>
  <c r="O13" i="11"/>
  <c r="O14" i="11"/>
  <c r="O15" i="11"/>
  <c r="O8" i="11"/>
  <c r="L9" i="11"/>
  <c r="L10" i="11"/>
  <c r="L11" i="11"/>
  <c r="L12" i="11"/>
  <c r="L13" i="11"/>
  <c r="L14" i="11"/>
  <c r="L15" i="11"/>
  <c r="L8" i="11"/>
  <c r="Q21" i="9"/>
  <c r="R14" i="9"/>
  <c r="N20" i="9"/>
  <c r="O14" i="9"/>
  <c r="K19" i="9"/>
  <c r="L14" i="9"/>
  <c r="Q34" i="2"/>
  <c r="E35" i="2"/>
  <c r="N35" i="2" s="1"/>
  <c r="O18" i="15"/>
  <c r="L18" i="15"/>
  <c r="I18" i="15"/>
  <c r="O15" i="15"/>
  <c r="L15" i="15"/>
  <c r="I15" i="15"/>
  <c r="O19" i="15"/>
  <c r="L19" i="15"/>
  <c r="I19" i="15"/>
  <c r="O16" i="15"/>
  <c r="L16" i="15"/>
  <c r="I16" i="15"/>
  <c r="O12" i="15"/>
  <c r="O11" i="15"/>
  <c r="L11" i="15"/>
  <c r="I11" i="15"/>
  <c r="O13" i="15"/>
  <c r="L12" i="15"/>
  <c r="L13" i="15"/>
  <c r="I13" i="15"/>
  <c r="I12" i="15"/>
  <c r="O10" i="15"/>
  <c r="O14" i="15"/>
  <c r="O17" i="15"/>
  <c r="O20" i="15"/>
  <c r="O21" i="15"/>
  <c r="O9" i="15"/>
  <c r="L10" i="15"/>
  <c r="L14" i="15"/>
  <c r="L17" i="15"/>
  <c r="L20" i="15"/>
  <c r="L21" i="15"/>
  <c r="L9" i="15"/>
  <c r="I10" i="15"/>
  <c r="I14" i="15"/>
  <c r="I17" i="15"/>
  <c r="I20" i="15"/>
  <c r="I21" i="15"/>
  <c r="I9" i="15"/>
  <c r="O22" i="14"/>
  <c r="AA8" i="13"/>
  <c r="AB16" i="13" s="1"/>
  <c r="AA25" i="13" s="1"/>
  <c r="X8" i="13"/>
  <c r="U8" i="13"/>
  <c r="O8" i="13"/>
  <c r="L8" i="13"/>
  <c r="I8" i="13"/>
  <c r="I9" i="11"/>
  <c r="I15" i="11"/>
  <c r="R8" i="11"/>
  <c r="I10" i="11"/>
  <c r="I11" i="11"/>
  <c r="I12" i="11"/>
  <c r="I13" i="11"/>
  <c r="I14" i="11"/>
  <c r="I8" i="11"/>
  <c r="H8" i="12"/>
  <c r="H9" i="12"/>
  <c r="H10" i="12"/>
  <c r="H11" i="12"/>
  <c r="H12" i="12"/>
  <c r="H13" i="12"/>
  <c r="H14" i="12"/>
  <c r="H15" i="12"/>
  <c r="H7" i="12"/>
  <c r="K8" i="12"/>
  <c r="K9" i="12"/>
  <c r="K10" i="12"/>
  <c r="K11" i="12"/>
  <c r="K12" i="12"/>
  <c r="K13" i="12"/>
  <c r="K14" i="12"/>
  <c r="K15" i="12"/>
  <c r="N8" i="12"/>
  <c r="N9" i="12"/>
  <c r="N10" i="12"/>
  <c r="N11" i="12"/>
  <c r="N12" i="12"/>
  <c r="N13" i="12"/>
  <c r="N14" i="12"/>
  <c r="N15" i="12"/>
  <c r="Q10" i="12"/>
  <c r="Q8" i="12"/>
  <c r="Q9" i="12"/>
  <c r="Q11" i="12"/>
  <c r="Q12" i="12"/>
  <c r="Q13" i="12"/>
  <c r="Q14" i="12"/>
  <c r="Q15" i="12"/>
  <c r="Q34" i="1"/>
  <c r="Q35" i="1"/>
  <c r="Q36" i="1"/>
  <c r="Q37" i="1"/>
  <c r="Q33" i="1"/>
  <c r="Q27" i="1"/>
  <c r="Q23" i="1"/>
  <c r="Q24" i="1"/>
  <c r="Q22" i="1"/>
  <c r="Q10" i="1"/>
  <c r="Q11" i="1"/>
  <c r="Q12" i="1"/>
  <c r="Q13" i="1"/>
  <c r="Q14" i="1"/>
  <c r="Q9" i="1"/>
  <c r="Q6" i="1"/>
  <c r="Q41" i="1"/>
  <c r="Q40" i="1"/>
  <c r="Q27" i="2"/>
  <c r="Q28" i="2"/>
  <c r="Q29" i="2"/>
  <c r="Q30" i="2"/>
  <c r="Q26" i="2"/>
  <c r="Q16" i="2"/>
  <c r="Q17" i="2"/>
  <c r="Q20" i="2"/>
  <c r="Q21" i="2"/>
  <c r="Q22" i="2"/>
  <c r="Q15" i="2"/>
  <c r="Q6" i="2"/>
  <c r="N7" i="12"/>
  <c r="Q7" i="12"/>
  <c r="K7" i="12"/>
  <c r="O19" i="11"/>
  <c r="L18" i="11"/>
  <c r="L9" i="7"/>
  <c r="O9" i="7"/>
  <c r="R9" i="7"/>
  <c r="K9" i="9"/>
  <c r="K10" i="9"/>
  <c r="K11" i="9"/>
  <c r="K12" i="9"/>
  <c r="K13" i="9"/>
  <c r="K17" i="9"/>
  <c r="K8" i="9"/>
  <c r="Q13" i="9"/>
  <c r="N11" i="9"/>
  <c r="H17" i="9"/>
  <c r="Q17" i="9" s="1"/>
  <c r="H8" i="9"/>
  <c r="N34" i="2"/>
  <c r="N30" i="2"/>
  <c r="K30" i="2"/>
  <c r="H30" i="2"/>
  <c r="N29" i="2"/>
  <c r="N28" i="2"/>
  <c r="K28" i="2"/>
  <c r="H28" i="2"/>
  <c r="N27" i="2"/>
  <c r="K27" i="2"/>
  <c r="H27" i="2"/>
  <c r="N26" i="2"/>
  <c r="K26" i="2"/>
  <c r="H26" i="2"/>
  <c r="V16" i="13" l="1"/>
  <c r="U24" i="13" s="1"/>
  <c r="Y16" i="13"/>
  <c r="X25" i="13" s="1"/>
  <c r="L16" i="12"/>
  <c r="K21" i="12" s="1"/>
  <c r="Q35" i="2"/>
  <c r="U25" i="14"/>
  <c r="I25" i="14"/>
  <c r="P16" i="13"/>
  <c r="O23" i="13" s="1"/>
  <c r="O28" i="13" s="1"/>
  <c r="S16" i="13"/>
  <c r="R24" i="13" s="1"/>
  <c r="R28" i="13" s="1"/>
  <c r="J16" i="13"/>
  <c r="I22" i="13" s="1"/>
  <c r="M16" i="13"/>
  <c r="L23" i="13" s="1"/>
  <c r="P16" i="11"/>
  <c r="O22" i="11" s="1"/>
  <c r="S16" i="11"/>
  <c r="R23" i="11" s="1"/>
  <c r="M16" i="11"/>
  <c r="J16" i="11"/>
  <c r="I20" i="11" s="1"/>
  <c r="I25" i="11" s="1"/>
  <c r="I14" i="9"/>
  <c r="H18" i="9" s="1"/>
  <c r="H24" i="9" s="1"/>
  <c r="O16" i="12"/>
  <c r="N22" i="12" s="1"/>
  <c r="R16" i="12"/>
  <c r="Q23" i="12" s="1"/>
  <c r="Q25" i="12" s="1"/>
  <c r="I16" i="12"/>
  <c r="H20" i="12" s="1"/>
  <c r="H25" i="12" s="1"/>
  <c r="I25" i="15"/>
  <c r="O25" i="15"/>
  <c r="L25" i="15"/>
  <c r="R25" i="14"/>
  <c r="L25" i="14"/>
  <c r="O25" i="14"/>
  <c r="AA28" i="13"/>
  <c r="X28" i="13"/>
  <c r="I28" i="13"/>
  <c r="U28" i="13"/>
  <c r="L28" i="13"/>
  <c r="K24" i="9"/>
  <c r="N25" i="12"/>
  <c r="K25" i="12"/>
  <c r="L25" i="11"/>
  <c r="O25" i="11"/>
  <c r="R25" i="11"/>
  <c r="O24" i="7"/>
  <c r="R24" i="7"/>
  <c r="L24" i="7"/>
  <c r="I24" i="7"/>
  <c r="Q24" i="9"/>
  <c r="N17" i="9" l="1"/>
  <c r="N40" i="1"/>
  <c r="N34" i="1"/>
  <c r="N35" i="1"/>
  <c r="N36" i="1"/>
  <c r="K34" i="1"/>
  <c r="H34" i="1"/>
  <c r="K35" i="1"/>
  <c r="H35" i="1"/>
  <c r="E41" i="1"/>
  <c r="N41" i="1" s="1"/>
  <c r="N33" i="1"/>
  <c r="K33" i="1"/>
  <c r="H33" i="1"/>
  <c r="N19" i="1"/>
  <c r="K19" i="1"/>
  <c r="H19" i="1"/>
  <c r="Q19" i="1" s="1"/>
  <c r="N18" i="1"/>
  <c r="K18" i="1"/>
  <c r="H18" i="1"/>
  <c r="Q18" i="1" s="1"/>
  <c r="N17" i="1"/>
  <c r="K17" i="1"/>
  <c r="H17" i="1"/>
  <c r="Q17" i="1" s="1"/>
  <c r="N24" i="9" l="1"/>
  <c r="L47" i="3" l="1"/>
  <c r="I47" i="3"/>
  <c r="L46" i="3"/>
  <c r="I46" i="3"/>
  <c r="L45" i="3"/>
  <c r="I45" i="3"/>
  <c r="L44" i="3"/>
  <c r="I44" i="3"/>
  <c r="K43" i="3"/>
  <c r="L43" i="3" s="1"/>
  <c r="I43" i="3"/>
  <c r="K42" i="3"/>
  <c r="L42" i="3" s="1"/>
  <c r="I42" i="3"/>
  <c r="K41" i="3"/>
  <c r="L41" i="3" s="1"/>
  <c r="I41" i="3"/>
  <c r="K40" i="3"/>
  <c r="L40" i="3" s="1"/>
  <c r="I40" i="3"/>
  <c r="K39" i="3"/>
  <c r="L39" i="3" s="1"/>
  <c r="I39" i="3"/>
  <c r="L38" i="3"/>
  <c r="I38" i="3"/>
  <c r="K37" i="3"/>
  <c r="L37" i="3" s="1"/>
  <c r="L55" i="3" s="1"/>
  <c r="I37" i="3"/>
  <c r="N22" i="2"/>
  <c r="K22" i="2"/>
  <c r="H22" i="2"/>
  <c r="N21" i="2"/>
  <c r="K21" i="2"/>
  <c r="H21" i="2"/>
  <c r="N20" i="2"/>
  <c r="K20" i="2"/>
  <c r="H20" i="2"/>
  <c r="N17" i="2"/>
  <c r="K17" i="2"/>
  <c r="H17" i="2"/>
  <c r="N16" i="2"/>
  <c r="K16" i="2"/>
  <c r="H16" i="2"/>
  <c r="N15" i="2"/>
  <c r="K15" i="2"/>
  <c r="H15" i="2"/>
  <c r="N11" i="2"/>
  <c r="K11" i="2"/>
  <c r="H11" i="2"/>
  <c r="Q11" i="2" s="1"/>
  <c r="N10" i="2"/>
  <c r="K10" i="2"/>
  <c r="H10" i="2"/>
  <c r="Q10" i="2" s="1"/>
  <c r="N9" i="2"/>
  <c r="K9" i="2"/>
  <c r="H9" i="2"/>
  <c r="Q9" i="2" s="1"/>
  <c r="N6" i="2"/>
  <c r="K6" i="2"/>
  <c r="H6" i="2"/>
  <c r="I55" i="3" l="1"/>
  <c r="Q19" i="3"/>
  <c r="R19" i="3" s="1"/>
  <c r="O19" i="3"/>
  <c r="Q20" i="3"/>
  <c r="R20" i="3" s="1"/>
  <c r="O20" i="3"/>
  <c r="Q39" i="2"/>
  <c r="I56" i="4"/>
  <c r="K39" i="2"/>
  <c r="N39" i="2"/>
  <c r="H39" i="2"/>
  <c r="O55" i="3" l="1"/>
  <c r="R55" i="3"/>
  <c r="N9" i="1"/>
  <c r="N10" i="1"/>
  <c r="N11" i="1"/>
  <c r="N12" i="1"/>
  <c r="N13" i="1"/>
  <c r="N14" i="1"/>
  <c r="N22" i="1"/>
  <c r="N23" i="1"/>
  <c r="N24" i="1"/>
  <c r="N27" i="1"/>
  <c r="N28" i="1"/>
  <c r="N29" i="1"/>
  <c r="N37" i="1"/>
  <c r="K14" i="1"/>
  <c r="H10" i="1"/>
  <c r="H11" i="1"/>
  <c r="H12" i="1"/>
  <c r="H13" i="1"/>
  <c r="H14" i="1"/>
  <c r="K10" i="1"/>
  <c r="K11" i="1"/>
  <c r="K12" i="1"/>
  <c r="K13" i="1"/>
  <c r="K37" i="1"/>
  <c r="H37" i="1"/>
  <c r="K29" i="1"/>
  <c r="H29" i="1"/>
  <c r="Q29" i="1" s="1"/>
  <c r="K28" i="1"/>
  <c r="H28" i="1"/>
  <c r="Q28" i="1" s="1"/>
  <c r="K27" i="1"/>
  <c r="H27" i="1"/>
  <c r="K24" i="1"/>
  <c r="H24" i="1"/>
  <c r="K23" i="1"/>
  <c r="H23" i="1"/>
  <c r="K22" i="1"/>
  <c r="H22" i="1"/>
  <c r="K9" i="1"/>
  <c r="H9" i="1"/>
  <c r="N6" i="1"/>
  <c r="K6" i="1"/>
  <c r="H6" i="1"/>
  <c r="Q43" i="1" l="1"/>
  <c r="N43" i="1"/>
  <c r="K43" i="1"/>
  <c r="H43" i="1"/>
</calcChain>
</file>

<file path=xl/sharedStrings.xml><?xml version="1.0" encoding="utf-8"?>
<sst xmlns="http://schemas.openxmlformats.org/spreadsheetml/2006/main" count="1468" uniqueCount="900">
  <si>
    <t xml:space="preserve">LITE </t>
  </si>
  <si>
    <t>STANDARD</t>
  </si>
  <si>
    <t>Brand</t>
  </si>
  <si>
    <t xml:space="preserve">Unit Cost </t>
  </si>
  <si>
    <t>Quantity</t>
  </si>
  <si>
    <t>Total cost</t>
  </si>
  <si>
    <t>BROILER PRODUCTION</t>
  </si>
  <si>
    <t xml:space="preserve">FEED </t>
  </si>
  <si>
    <t>3 litres antidrown</t>
  </si>
  <si>
    <t>6-8 litres</t>
  </si>
  <si>
    <t>10-12 litres</t>
  </si>
  <si>
    <t xml:space="preserve">3kg </t>
  </si>
  <si>
    <t>6kgs</t>
  </si>
  <si>
    <t>10kgs</t>
  </si>
  <si>
    <t>Infra red lamps</t>
  </si>
  <si>
    <t>Brooder</t>
  </si>
  <si>
    <t>Mesh wire</t>
  </si>
  <si>
    <t>Roofing</t>
  </si>
  <si>
    <t>TOTAL COST</t>
  </si>
  <si>
    <t>Aliseryl (antibiotic)</t>
  </si>
  <si>
    <t>FULL HOUSE</t>
  </si>
  <si>
    <t>Accessories and Equipment</t>
  </si>
  <si>
    <t>BARBER,BUSH LOCS</t>
  </si>
  <si>
    <t>Barber station (with mirrior)</t>
  </si>
  <si>
    <t xml:space="preserve">Chair </t>
  </si>
  <si>
    <t>Electric  hairclipper</t>
  </si>
  <si>
    <t>Reachable hairclipper</t>
  </si>
  <si>
    <t>Blower</t>
  </si>
  <si>
    <t>Sokany</t>
  </si>
  <si>
    <t>Scissors set</t>
  </si>
  <si>
    <t>Comb set ( rat tail) set</t>
  </si>
  <si>
    <t>Comb set ( wide tooth) set</t>
  </si>
  <si>
    <t>Bush sponse</t>
  </si>
  <si>
    <t>Neck duster</t>
  </si>
  <si>
    <t>Racket comb</t>
  </si>
  <si>
    <t>Wave brush</t>
  </si>
  <si>
    <t xml:space="preserve">Jack blade </t>
  </si>
  <si>
    <t>Mixing bowl</t>
  </si>
  <si>
    <t>barber cape</t>
  </si>
  <si>
    <t>Towel</t>
  </si>
  <si>
    <t>Finger brush</t>
  </si>
  <si>
    <t>Uv sterliser BOX</t>
  </si>
  <si>
    <t>Crotchet needle set</t>
  </si>
  <si>
    <t>Hand mirror</t>
  </si>
  <si>
    <t>Spirit bottle</t>
  </si>
  <si>
    <t>SMOTHENER  ?</t>
  </si>
  <si>
    <t>APRON    ?</t>
  </si>
  <si>
    <t>Consumables</t>
  </si>
  <si>
    <t>Shaving cream</t>
  </si>
  <si>
    <t>Gloves</t>
  </si>
  <si>
    <t>After shave</t>
  </si>
  <si>
    <t>Ethanol</t>
  </si>
  <si>
    <t xml:space="preserve">Inector liquid  black dye </t>
  </si>
  <si>
    <t xml:space="preserve">Dematol </t>
  </si>
  <si>
    <t>Razor blade</t>
  </si>
  <si>
    <t>Hairclipper Oil</t>
  </si>
  <si>
    <t>Locking gel</t>
  </si>
  <si>
    <t>shampoo set</t>
  </si>
  <si>
    <t>Mousse spray</t>
  </si>
  <si>
    <t>TOTAL</t>
  </si>
  <si>
    <t>BRAIDING ,WEAVING</t>
  </si>
  <si>
    <t>CHAIR/STOOL</t>
  </si>
  <si>
    <t>WIG INSTALLATION</t>
  </si>
  <si>
    <t>SAL0ON STATION ( with mirror,usd ports)</t>
  </si>
  <si>
    <t>WASHBISIN 9(MEDIUAM)</t>
  </si>
  <si>
    <t>Thread</t>
  </si>
  <si>
    <t>Needle set</t>
  </si>
  <si>
    <t>Crochet needle</t>
  </si>
  <si>
    <t>Scissors</t>
  </si>
  <si>
    <t>Flat iron</t>
  </si>
  <si>
    <t>curling iron</t>
  </si>
  <si>
    <t>hot comb</t>
  </si>
  <si>
    <t>Clippers set</t>
  </si>
  <si>
    <t>Wig brush set</t>
  </si>
  <si>
    <t>Spray bottle</t>
  </si>
  <si>
    <t>Elastic band</t>
  </si>
  <si>
    <t>Edge brush</t>
  </si>
  <si>
    <t>Wig cap</t>
  </si>
  <si>
    <t>Wig head mannequin</t>
  </si>
  <si>
    <t>towels</t>
  </si>
  <si>
    <t>Apron plain</t>
  </si>
  <si>
    <t>Bonding glue</t>
  </si>
  <si>
    <t>Shampos set</t>
  </si>
  <si>
    <t>Conditioner</t>
  </si>
  <si>
    <t>loking gel</t>
  </si>
  <si>
    <t>edge control</t>
  </si>
  <si>
    <t>hair oil</t>
  </si>
  <si>
    <t>holding spray</t>
  </si>
  <si>
    <t>heat protectant spry</t>
  </si>
  <si>
    <t>lace tint spary</t>
  </si>
  <si>
    <t>hair food</t>
  </si>
  <si>
    <t xml:space="preserve">Nail lamb </t>
  </si>
  <si>
    <t>UV light</t>
  </si>
  <si>
    <t>Acrylic brushes set</t>
  </si>
  <si>
    <t>Buffer</t>
  </si>
  <si>
    <t>Filers set</t>
  </si>
  <si>
    <t>bowl</t>
  </si>
  <si>
    <t>cuticle set(twizzer, nail cutter</t>
  </si>
  <si>
    <t>Dril set</t>
  </si>
  <si>
    <t>Consumable</t>
  </si>
  <si>
    <t xml:space="preserve">cotton 1kg </t>
  </si>
  <si>
    <t>Regular polish</t>
  </si>
  <si>
    <t>??????</t>
  </si>
  <si>
    <t>Gel polisher</t>
  </si>
  <si>
    <t>Color clear</t>
  </si>
  <si>
    <t>Basecoat</t>
  </si>
  <si>
    <t>top coat</t>
  </si>
  <si>
    <t xml:space="preserve"> Printed Stick on  finger nails</t>
  </si>
  <si>
    <t>Plain stick on  finger nails</t>
  </si>
  <si>
    <t>printed stick on toes nails</t>
  </si>
  <si>
    <t>Plain stick on  toes nails</t>
  </si>
  <si>
    <t>Glass tips</t>
  </si>
  <si>
    <t>White tips</t>
  </si>
  <si>
    <t>?????</t>
  </si>
  <si>
    <t>Nail glue set</t>
  </si>
  <si>
    <t>Nail polish remover/acertion 1litre</t>
  </si>
  <si>
    <t>Acrylic liquid   1 litre</t>
  </si>
  <si>
    <t>Acrylic powders(colors)asorted set</t>
  </si>
  <si>
    <t>Naturals  nails box</t>
  </si>
  <si>
    <t>Stickers pac</t>
  </si>
  <si>
    <t>Stones pac</t>
  </si>
  <si>
    <t>Towels(Face)</t>
  </si>
  <si>
    <t>Magnolia/baby oil</t>
  </si>
  <si>
    <t>Brushes</t>
  </si>
  <si>
    <t>Fan</t>
  </si>
  <si>
    <t>lip stick</t>
  </si>
  <si>
    <t>Lip gloss set</t>
  </si>
  <si>
    <t xml:space="preserve">Eye brow pencils </t>
  </si>
  <si>
    <t>Eye Liners</t>
  </si>
  <si>
    <t>Lip liners</t>
  </si>
  <si>
    <t>Eye shadow</t>
  </si>
  <si>
    <t>Eye lashes(singles )  different  sizes</t>
  </si>
  <si>
    <t>Eye lashes belts) different size</t>
  </si>
  <si>
    <t>Lash glue</t>
  </si>
  <si>
    <t>Mascara</t>
  </si>
  <si>
    <t>Foundation( assorted)</t>
  </si>
  <si>
    <t>mary kay</t>
  </si>
  <si>
    <t>Face Powder</t>
  </si>
  <si>
    <t xml:space="preserve">kiss beauty </t>
  </si>
  <si>
    <t>Sponge</t>
  </si>
  <si>
    <t>Make-up  spritz</t>
  </si>
  <si>
    <t>Facial wipes</t>
  </si>
  <si>
    <t>Banana powder</t>
  </si>
  <si>
    <t>Concelears</t>
  </si>
  <si>
    <t>Primers</t>
  </si>
  <si>
    <t>Blushes</t>
  </si>
  <si>
    <t>Equipment</t>
  </si>
  <si>
    <t xml:space="preserve"> </t>
  </si>
  <si>
    <t>TRANSPORT SMALL TRUCK</t>
  </si>
  <si>
    <t>GOLD PACKAGAEGE 230</t>
  </si>
  <si>
    <t>INVOICE $1700</t>
  </si>
  <si>
    <t>Transport</t>
  </si>
  <si>
    <t>Birds</t>
  </si>
  <si>
    <t>Description</t>
  </si>
  <si>
    <t>Day Old Chicks</t>
  </si>
  <si>
    <t>25kg</t>
  </si>
  <si>
    <t>50kg</t>
  </si>
  <si>
    <t xml:space="preserve">Starter crumbs  </t>
  </si>
  <si>
    <t>Product</t>
  </si>
  <si>
    <t>Margin</t>
  </si>
  <si>
    <t xml:space="preserve">Starter crumbs </t>
  </si>
  <si>
    <t xml:space="preserve">Grower pellets </t>
  </si>
  <si>
    <t xml:space="preserve">Finisher Pellets </t>
  </si>
  <si>
    <t>100g</t>
  </si>
  <si>
    <t>250g</t>
  </si>
  <si>
    <t xml:space="preserve">Stress pack </t>
  </si>
  <si>
    <t xml:space="preserve">Virukill (disinfectant) </t>
  </si>
  <si>
    <t>Plastic Feeders</t>
  </si>
  <si>
    <t xml:space="preserve">Plastic Drinkers </t>
  </si>
  <si>
    <t>Chicken coup complete</t>
  </si>
  <si>
    <t>Wooden Cabin</t>
  </si>
  <si>
    <t>Housing  and Accessories</t>
  </si>
  <si>
    <t>Cabin from source to Courier</t>
  </si>
  <si>
    <t xml:space="preserve">Courier charge </t>
  </si>
  <si>
    <t>3l</t>
  </si>
  <si>
    <t>8l</t>
  </si>
  <si>
    <t>12l</t>
  </si>
  <si>
    <t xml:space="preserve">Product </t>
  </si>
  <si>
    <t xml:space="preserve">Starter Crumbs </t>
  </si>
  <si>
    <t xml:space="preserve">Grower Crumbs </t>
  </si>
  <si>
    <t xml:space="preserve">Layer Mash Concetrate </t>
  </si>
  <si>
    <t>Gain</t>
  </si>
  <si>
    <t>Farm &amp; City</t>
  </si>
  <si>
    <t>Supplier                           1)</t>
  </si>
  <si>
    <t xml:space="preserve">                                            2)</t>
  </si>
  <si>
    <t>Drinkers</t>
  </si>
  <si>
    <t>Feeders</t>
  </si>
  <si>
    <t>Incubators</t>
  </si>
  <si>
    <t>216 Egg Capacity</t>
  </si>
  <si>
    <t>576 Egg Capacity</t>
  </si>
  <si>
    <t>1700 Egg Capacity</t>
  </si>
  <si>
    <t>Automatic Wooden</t>
  </si>
  <si>
    <t>Automatic Metal Insulated</t>
  </si>
  <si>
    <t>Automatic Metal insulated</t>
  </si>
  <si>
    <t>MCPB001</t>
  </si>
  <si>
    <t xml:space="preserve">SUB CATERGORY   </t>
  </si>
  <si>
    <t>: CHICKEN PROJECT</t>
  </si>
  <si>
    <t>: BROILER</t>
  </si>
  <si>
    <t xml:space="preserve">CATERGORY             </t>
  </si>
  <si>
    <t>MCPB002</t>
  </si>
  <si>
    <t>MCPB003</t>
  </si>
  <si>
    <t>MCPB004</t>
  </si>
  <si>
    <t>MCPB005</t>
  </si>
  <si>
    <t>MCPB006</t>
  </si>
  <si>
    <t>MCPB007</t>
  </si>
  <si>
    <t>MCPB008</t>
  </si>
  <si>
    <t>MCPB009</t>
  </si>
  <si>
    <t>LAYERS PRODUCTION</t>
  </si>
  <si>
    <t>: LAYERS</t>
  </si>
  <si>
    <t>MCPL</t>
  </si>
  <si>
    <t>MCPB010</t>
  </si>
  <si>
    <t>MCPB011</t>
  </si>
  <si>
    <t>MCPB012</t>
  </si>
  <si>
    <t>MCPB013</t>
  </si>
  <si>
    <t>MCPB014</t>
  </si>
  <si>
    <t>MCPB015</t>
  </si>
  <si>
    <t>MCPB016</t>
  </si>
  <si>
    <t>MCPB017</t>
  </si>
  <si>
    <t>MCPB018</t>
  </si>
  <si>
    <t>MCPB019</t>
  </si>
  <si>
    <t>MCPB020</t>
  </si>
  <si>
    <t>MCPB021</t>
  </si>
  <si>
    <t>MCPB022</t>
  </si>
  <si>
    <t>MCPB</t>
  </si>
  <si>
    <t>CATERGORY</t>
  </si>
  <si>
    <t>CODE KEY</t>
  </si>
  <si>
    <t>CODE MEANING</t>
  </si>
  <si>
    <t>MAMI</t>
  </si>
  <si>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icrobiz 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hickens 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roject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roiler</t>
    </r>
  </si>
  <si>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icrobiz 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hickens 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rojec</t>
    </r>
    <r>
      <rPr>
        <b/>
        <sz val="11"/>
        <color theme="1"/>
        <rFont val="Calibri"/>
        <family val="2"/>
        <scheme val="minor"/>
      </rPr>
      <t>t l</t>
    </r>
    <r>
      <rPr>
        <sz val="11"/>
        <color theme="1"/>
        <rFont val="Calibri"/>
        <family val="2"/>
        <scheme val="minor"/>
      </rPr>
      <t>ayers</t>
    </r>
  </si>
  <si>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icroiz</t>
    </r>
    <r>
      <rPr>
        <b/>
        <sz val="11"/>
        <color theme="1"/>
        <rFont val="Calibri"/>
        <family val="2"/>
        <scheme val="minor"/>
      </rPr>
      <t xml:space="preserve"> A</t>
    </r>
    <r>
      <rPr>
        <sz val="11"/>
        <color theme="1"/>
        <rFont val="Calibri"/>
        <family val="2"/>
        <scheme val="minor"/>
      </rPr>
      <t>gricultural</t>
    </r>
    <r>
      <rPr>
        <b/>
        <sz val="11"/>
        <color theme="1"/>
        <rFont val="Calibri"/>
        <family val="2"/>
        <scheme val="minor"/>
      </rPr>
      <t xml:space="preserve"> M</t>
    </r>
    <r>
      <rPr>
        <sz val="11"/>
        <color theme="1"/>
        <rFont val="Calibri"/>
        <family val="2"/>
        <scheme val="minor"/>
      </rPr>
      <t xml:space="preserve">achinery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ncubators</t>
    </r>
  </si>
  <si>
    <t>MCPL025</t>
  </si>
  <si>
    <t>MCPL026</t>
  </si>
  <si>
    <t>MCPL027</t>
  </si>
  <si>
    <t>MCPL028</t>
  </si>
  <si>
    <t>MCPL029</t>
  </si>
  <si>
    <t>MCPL030</t>
  </si>
  <si>
    <t>MCPL031</t>
  </si>
  <si>
    <t>MCPL032</t>
  </si>
  <si>
    <t>MCPL033</t>
  </si>
  <si>
    <t>MCPL034</t>
  </si>
  <si>
    <t>MCPL035</t>
  </si>
  <si>
    <t>MCPL036</t>
  </si>
  <si>
    <t>MCPL037</t>
  </si>
  <si>
    <t>MCPL038</t>
  </si>
  <si>
    <t>MCPL039</t>
  </si>
  <si>
    <t>MCPL040</t>
  </si>
  <si>
    <t>Feed</t>
  </si>
  <si>
    <t>MAMI044</t>
  </si>
  <si>
    <t>: Agricultural Machinery</t>
  </si>
  <si>
    <t>: INCUBATORS</t>
  </si>
  <si>
    <t>: BEUATY ,HAIR AND COSMETICS</t>
  </si>
  <si>
    <t>:SALOON FURNITURE AND EQUIPMENT</t>
  </si>
  <si>
    <t>SALOON FURNITURE</t>
  </si>
  <si>
    <t>&amp; EQUIPMENT</t>
  </si>
  <si>
    <t>Mirrors ,Usb ports</t>
  </si>
  <si>
    <t>Medium</t>
  </si>
  <si>
    <t>Moveable</t>
  </si>
  <si>
    <t>Mounted</t>
  </si>
  <si>
    <t>Chair/Stool</t>
  </si>
  <si>
    <t xml:space="preserve">Saloon Station </t>
  </si>
  <si>
    <t xml:space="preserve">Wash Basin </t>
  </si>
  <si>
    <t>Hair Drayer</t>
  </si>
  <si>
    <t>War Drayer</t>
  </si>
  <si>
    <t>Trollery</t>
  </si>
  <si>
    <t>Tranport Indrive</t>
  </si>
  <si>
    <t>Furniture</t>
  </si>
  <si>
    <t xml:space="preserve">Transport </t>
  </si>
  <si>
    <t>SPEAKER</t>
  </si>
  <si>
    <t>Tower</t>
  </si>
  <si>
    <t>Slug</t>
  </si>
  <si>
    <t xml:space="preserve"> from source to Courier</t>
  </si>
  <si>
    <t xml:space="preserve">Snooker Table </t>
  </si>
  <si>
    <t>Bar Entertainment</t>
  </si>
  <si>
    <t>:PA SYSTEMS</t>
  </si>
  <si>
    <t xml:space="preserve">PA SYSTEMS </t>
  </si>
  <si>
    <t xml:space="preserve">Mixer </t>
  </si>
  <si>
    <t xml:space="preserve">Microphone </t>
  </si>
  <si>
    <t>Coded 3 Pack</t>
  </si>
  <si>
    <t>Top Speaker</t>
  </si>
  <si>
    <t>Base Bin Speaker</t>
  </si>
  <si>
    <t>Hybrid 15 inch</t>
  </si>
  <si>
    <t>Amplifyer</t>
  </si>
  <si>
    <t>Hybrid B2400</t>
  </si>
  <si>
    <t>Speaker Cables</t>
  </si>
  <si>
    <t>10 metres</t>
  </si>
  <si>
    <t>Pole Stand</t>
  </si>
  <si>
    <t>Masters</t>
  </si>
  <si>
    <t>Nhema Incuators</t>
  </si>
  <si>
    <t>FULLHOUSE</t>
  </si>
  <si>
    <t>GOLD PACKAGE</t>
  </si>
  <si>
    <t>: EVENTS MANAGEMENT</t>
  </si>
  <si>
    <t>: EVENTS MANAGEMENTS</t>
  </si>
  <si>
    <t xml:space="preserve">  </t>
  </si>
  <si>
    <t xml:space="preserve">Hybrid 6 Channel </t>
  </si>
  <si>
    <t>For top speaker x2</t>
  </si>
  <si>
    <t xml:space="preserve">Hybrid 12 Channel </t>
  </si>
  <si>
    <t>Codeless x2</t>
  </si>
  <si>
    <t>Hybrid double 18 inch</t>
  </si>
  <si>
    <t>MEMP</t>
  </si>
  <si>
    <t>Microiz Event Management Pa systems</t>
  </si>
  <si>
    <t xml:space="preserve"> Code</t>
  </si>
  <si>
    <t>TSBP</t>
  </si>
  <si>
    <t>TCBP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</si>
  <si>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ransport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ource Broiler Producton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</si>
  <si>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Broiler Producton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</si>
  <si>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ransport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ource layers Producton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</si>
  <si>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Layers Producton</t>
    </r>
  </si>
  <si>
    <t>TSLP</t>
  </si>
  <si>
    <t>TCLP</t>
  </si>
  <si>
    <t>TSBP023</t>
  </si>
  <si>
    <t>TCBP024</t>
  </si>
  <si>
    <t>TSLP041</t>
  </si>
  <si>
    <t>TCLP042</t>
  </si>
  <si>
    <t>TSIM</t>
  </si>
  <si>
    <t>TCIM</t>
  </si>
  <si>
    <t>TCIM049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</si>
  <si>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ransport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ource lncubators Machinery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</si>
  <si>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Incubators Machinery</t>
    </r>
  </si>
  <si>
    <t>TSPS</t>
  </si>
  <si>
    <t>TCPS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</si>
  <si>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Source  PA Systems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</si>
  <si>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PA System</t>
    </r>
  </si>
  <si>
    <t>MEMP051</t>
  </si>
  <si>
    <t>MEMP052</t>
  </si>
  <si>
    <t>MEMP053</t>
  </si>
  <si>
    <t>MEMP054</t>
  </si>
  <si>
    <t>MEMP055</t>
  </si>
  <si>
    <t>MEMP056</t>
  </si>
  <si>
    <t>MEMP057</t>
  </si>
  <si>
    <t>MEMP058</t>
  </si>
  <si>
    <t>Code</t>
  </si>
  <si>
    <t>: BAR ENTERTAINMENT</t>
  </si>
  <si>
    <t>: PORTABLE TOILETS</t>
  </si>
  <si>
    <t>55' inch Television</t>
  </si>
  <si>
    <t xml:space="preserve">Smart TV </t>
  </si>
  <si>
    <t>Azam</t>
  </si>
  <si>
    <t>Decoder Subscription</t>
  </si>
  <si>
    <t>Decoder</t>
  </si>
  <si>
    <t>Commercial</t>
  </si>
  <si>
    <t>Disco lights</t>
  </si>
  <si>
    <t>Dart  body</t>
  </si>
  <si>
    <t>Gold Package</t>
  </si>
  <si>
    <t>Portable Toilets</t>
  </si>
  <si>
    <t>Plasctic Chairs</t>
  </si>
  <si>
    <t>Tiffan chairs</t>
  </si>
  <si>
    <t>Foldable Tables</t>
  </si>
  <si>
    <t>STANDARD 1</t>
  </si>
  <si>
    <t>STANDARD 2</t>
  </si>
  <si>
    <t>FULLHOUSE 1</t>
  </si>
  <si>
    <t>FULLHOUSE 2</t>
  </si>
  <si>
    <t>Small Foldable table</t>
  </si>
  <si>
    <t xml:space="preserve">GOLD </t>
  </si>
  <si>
    <t>Peg and Pol 100 Seater (5mx5m)</t>
  </si>
  <si>
    <t>Peg and Pol 50 Seater (5mx5m)</t>
  </si>
  <si>
    <t>Tent</t>
  </si>
  <si>
    <t xml:space="preserve"> Foldable table</t>
  </si>
  <si>
    <t>Rectangle</t>
  </si>
  <si>
    <t>Bride and Grooms chairs</t>
  </si>
  <si>
    <t>: TAILORING MACHINE</t>
  </si>
  <si>
    <t>:SEWING</t>
  </si>
  <si>
    <t>SEWING</t>
  </si>
  <si>
    <t>Straight Machine</t>
  </si>
  <si>
    <t>Domestic (Butterfly)</t>
  </si>
  <si>
    <t>Zig Zag Machine</t>
  </si>
  <si>
    <t>Overlocking Machine</t>
  </si>
  <si>
    <t>Domestic (Multifunctonal ,Kawkab)</t>
  </si>
  <si>
    <t xml:space="preserve">4 Threader Mock Stitch  Industrail(Worlden) </t>
  </si>
  <si>
    <t>Cutting Machine</t>
  </si>
  <si>
    <t>Octar</t>
  </si>
  <si>
    <t>Industrail (juki)</t>
  </si>
  <si>
    <t>Domestic (Singer)</t>
  </si>
  <si>
    <t>Flossy  Machine</t>
  </si>
  <si>
    <t>Iron</t>
  </si>
  <si>
    <t>Industrail (Silverstar)</t>
  </si>
  <si>
    <t>: PERSONAL DEVELOPMENT</t>
  </si>
  <si>
    <t>DRIVERS LICENCE</t>
  </si>
  <si>
    <t xml:space="preserve">Oral lessons </t>
  </si>
  <si>
    <t>Lessons until you pass</t>
  </si>
  <si>
    <t>Trafic Safety Council of Zimbabwe  2 day Course</t>
  </si>
  <si>
    <t>:DRIVERS LICENCE</t>
  </si>
  <si>
    <t xml:space="preserve">Provisional Licence </t>
  </si>
  <si>
    <t>Micrbiz</t>
  </si>
  <si>
    <t>Defensive Driving Course</t>
  </si>
  <si>
    <t>Defensive Driving Test</t>
  </si>
  <si>
    <t>Practical Lessons class 4/3</t>
  </si>
  <si>
    <t>Practical Lessons class 1/2</t>
  </si>
  <si>
    <t>Car Hire class 4/3</t>
  </si>
  <si>
    <t>Car Hire class 2/1</t>
  </si>
  <si>
    <t>Road Test class 4/3</t>
  </si>
  <si>
    <t>Road Test class 2/1</t>
  </si>
  <si>
    <t>Raod test Including vision and pschomotar</t>
  </si>
  <si>
    <t>F.H-Class 4&amp;1 Combo</t>
  </si>
  <si>
    <t>LITE-Class 4 or 3</t>
  </si>
  <si>
    <t>STD-Class 1 or 2</t>
  </si>
  <si>
    <t>Road lessons x 10, of half an hour class 2/1</t>
  </si>
  <si>
    <t>Road lessons x 30, of  half an hour class 4/3</t>
  </si>
  <si>
    <t>V.I.D booking class 4/3 (one time attempt)</t>
  </si>
  <si>
    <t>V.I.D booking class 4/3 (two time attempt)</t>
  </si>
  <si>
    <t>Provisional test V.I.D (maxium two time attempt ) class 4/3</t>
  </si>
  <si>
    <t>Provisional test V.I.D (one time attempt only) class 2/1</t>
  </si>
  <si>
    <t>V.I.D road test class 4/3 (one time attempt only)</t>
  </si>
  <si>
    <t>V.I.D road test class 4/3 (maxium two time attempts)</t>
  </si>
  <si>
    <t>V.I.D road test class 2/1 (maxium two time attempt only)</t>
  </si>
  <si>
    <t>V.I.D booking class 2/1 (maxium two time attemp onlyt)</t>
  </si>
  <si>
    <t>Transport to and from boarding house</t>
  </si>
  <si>
    <t>Graduation Fees Delight</t>
  </si>
  <si>
    <t>Graduation Fees Ixar</t>
  </si>
  <si>
    <t>Boarding House Boys Only  1 month stay</t>
  </si>
  <si>
    <t>Boarding House Girls Only 1 month stay</t>
  </si>
  <si>
    <t>Inclusive of breakfas,packed lunch, dinner</t>
  </si>
  <si>
    <t xml:space="preserve">Delight Beauty Curse Covers - Nails, Make Up, </t>
  </si>
  <si>
    <t>Installation, Weaving,Wig Making, Braiding</t>
  </si>
  <si>
    <t>Sewing</t>
  </si>
  <si>
    <t>Baking</t>
  </si>
  <si>
    <t>6 Months Lessons</t>
  </si>
  <si>
    <t>3 Month Lessons</t>
  </si>
  <si>
    <t>1 Month Weekend (6 hour Lessons) -  Saturdays only</t>
  </si>
  <si>
    <t xml:space="preserve">: VOCATIONAL COURSES </t>
  </si>
  <si>
    <t>1 Month Evening (2 hour Lessons) - Monday to Friday</t>
  </si>
  <si>
    <t>1 Month (2 hour Lessons) - Monday to Friday</t>
  </si>
  <si>
    <t>Delight</t>
  </si>
  <si>
    <t>Ixar Academy</t>
  </si>
  <si>
    <t>Beauty or Sewing or Baking</t>
  </si>
  <si>
    <t>LITE</t>
  </si>
  <si>
    <t>Option 1</t>
  </si>
  <si>
    <t xml:space="preserve">Option2 </t>
  </si>
  <si>
    <t>total</t>
  </si>
  <si>
    <t>Courier charge 1</t>
  </si>
  <si>
    <t>Courier charge 2</t>
  </si>
  <si>
    <t>Courier charge 3</t>
  </si>
  <si>
    <t>Courier charge 4</t>
  </si>
  <si>
    <t>TCIM050</t>
  </si>
  <si>
    <t xml:space="preserve">Microbiz Entertainment Bar </t>
  </si>
  <si>
    <t>METB</t>
  </si>
  <si>
    <t>MEMP059</t>
  </si>
  <si>
    <t>METB065</t>
  </si>
  <si>
    <t>METB066</t>
  </si>
  <si>
    <t>METB067</t>
  </si>
  <si>
    <t>METB068</t>
  </si>
  <si>
    <t>METB069</t>
  </si>
  <si>
    <t>METB070</t>
  </si>
  <si>
    <t>METB071</t>
  </si>
  <si>
    <t>METB072</t>
  </si>
  <si>
    <t>TSBE</t>
  </si>
  <si>
    <t>TCBE</t>
  </si>
  <si>
    <t>Microbiz Events Management Venue Setup</t>
  </si>
  <si>
    <t>MEMV</t>
  </si>
  <si>
    <t xml:space="preserve">Transport Source Events Management Bar </t>
  </si>
  <si>
    <t>Transport Courier Events Management Bar</t>
  </si>
  <si>
    <t>Transport Source Events Management Venue Setup</t>
  </si>
  <si>
    <t>TSMV</t>
  </si>
  <si>
    <t>TCMV</t>
  </si>
  <si>
    <t>Transport Courier Events Management Venue Setup</t>
  </si>
  <si>
    <t>MAMI043</t>
  </si>
  <si>
    <t>MAMI045</t>
  </si>
  <si>
    <t>TSIM046</t>
  </si>
  <si>
    <t>TCIM048</t>
  </si>
  <si>
    <t>TSPS060</t>
  </si>
  <si>
    <t>TCPS061</t>
  </si>
  <si>
    <t>TCPS062</t>
  </si>
  <si>
    <t>TCPS063</t>
  </si>
  <si>
    <t>TCPS064</t>
  </si>
  <si>
    <t>MTSM</t>
  </si>
  <si>
    <t>TSTM</t>
  </si>
  <si>
    <t>TCTM</t>
  </si>
  <si>
    <t>MTSM100</t>
  </si>
  <si>
    <t>TSBE073</t>
  </si>
  <si>
    <t>TCBE074</t>
  </si>
  <si>
    <t>TCBE075</t>
  </si>
  <si>
    <t>TCBE076</t>
  </si>
  <si>
    <t>TCBE077</t>
  </si>
  <si>
    <t>MEMV078</t>
  </si>
  <si>
    <t>MEMV079</t>
  </si>
  <si>
    <t>MEMV080</t>
  </si>
  <si>
    <t>MEMV081</t>
  </si>
  <si>
    <t>MEMV082</t>
  </si>
  <si>
    <t>MEMV083</t>
  </si>
  <si>
    <t>MEMV084</t>
  </si>
  <si>
    <t>TSMV085</t>
  </si>
  <si>
    <t>TCMV086</t>
  </si>
  <si>
    <t>TCMV087</t>
  </si>
  <si>
    <t>TCMV088</t>
  </si>
  <si>
    <t>TCMV089</t>
  </si>
  <si>
    <t>MTSM090</t>
  </si>
  <si>
    <t>MTSM091</t>
  </si>
  <si>
    <t>MTSM092</t>
  </si>
  <si>
    <t>MTSM093</t>
  </si>
  <si>
    <t>MTSM094</t>
  </si>
  <si>
    <t>MTSM095</t>
  </si>
  <si>
    <t>MTSM096</t>
  </si>
  <si>
    <t>MTSM097</t>
  </si>
  <si>
    <t>MTSM098</t>
  </si>
  <si>
    <t>MTSM099</t>
  </si>
  <si>
    <t>TSTM103</t>
  </si>
  <si>
    <t>TCTM104</t>
  </si>
  <si>
    <t>PDDL105</t>
  </si>
  <si>
    <t>PDDL106</t>
  </si>
  <si>
    <t>PDDL107</t>
  </si>
  <si>
    <t>PDDL108</t>
  </si>
  <si>
    <t>PDDL109</t>
  </si>
  <si>
    <t>PDDL110</t>
  </si>
  <si>
    <t>PDDL111</t>
  </si>
  <si>
    <t>PDDL112</t>
  </si>
  <si>
    <t>PDDL113</t>
  </si>
  <si>
    <t>PDDL114</t>
  </si>
  <si>
    <t>PDDL115</t>
  </si>
  <si>
    <t>PDDL116</t>
  </si>
  <si>
    <t>PDDL117</t>
  </si>
  <si>
    <t>Microbiz Tailoring Sewing Machine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</si>
  <si>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Source  Tailoring Machine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</si>
  <si>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Tailoring Machine</t>
    </r>
  </si>
  <si>
    <t>PDDL</t>
  </si>
  <si>
    <t>Personal Development Drivers License</t>
  </si>
  <si>
    <t>8 inch   (Worlden)</t>
  </si>
  <si>
    <t>10 inch (Juki)</t>
  </si>
  <si>
    <t>Gold Package 1</t>
  </si>
  <si>
    <t>Gold Package 2</t>
  </si>
  <si>
    <t>Button Hole Machine</t>
  </si>
  <si>
    <t>Kawkab</t>
  </si>
  <si>
    <t>: BARBER</t>
  </si>
  <si>
    <t>Big</t>
  </si>
  <si>
    <t>Excutive Barber Chairs</t>
  </si>
  <si>
    <t>4 month (PSL enabled but 6 months)</t>
  </si>
  <si>
    <t>: CLEANING SERVICES</t>
  </si>
  <si>
    <t>:CAR WASH</t>
  </si>
  <si>
    <t>Electric High Pressure cleaner</t>
  </si>
  <si>
    <t>Supplier</t>
  </si>
  <si>
    <t>Vaccum cleaner</t>
  </si>
  <si>
    <t xml:space="preserve">1400 watts  </t>
  </si>
  <si>
    <t xml:space="preserve">Lucky Brands </t>
  </si>
  <si>
    <t>Petrol Pressure Cleaner</t>
  </si>
  <si>
    <t>Bolla</t>
  </si>
  <si>
    <t xml:space="preserve">? watts  </t>
  </si>
  <si>
    <t>Electric ,Total</t>
  </si>
  <si>
    <t xml:space="preserve"> Buffing Machine</t>
  </si>
  <si>
    <t>Battery powered,Total</t>
  </si>
  <si>
    <t>6 Horse power,Total</t>
  </si>
  <si>
    <t>Car port</t>
  </si>
  <si>
    <t xml:space="preserve">1 car </t>
  </si>
  <si>
    <t>Total</t>
  </si>
  <si>
    <t>IBC Tank</t>
  </si>
  <si>
    <t>1000l</t>
  </si>
  <si>
    <t>1600 Watt,Nexus</t>
  </si>
  <si>
    <t>1800 Watt,Total</t>
  </si>
  <si>
    <t>?,Total</t>
  </si>
  <si>
    <t>CARWASH</t>
  </si>
  <si>
    <t>MCSC</t>
  </si>
  <si>
    <t>Microbiz Cleaning Service Carwash</t>
  </si>
  <si>
    <t>MCSC118</t>
  </si>
  <si>
    <t>MCSC119</t>
  </si>
  <si>
    <t>MCSC120</t>
  </si>
  <si>
    <t>MCSC121</t>
  </si>
  <si>
    <t>MCSC122</t>
  </si>
  <si>
    <t>MCSC123</t>
  </si>
  <si>
    <t>MCSC124</t>
  </si>
  <si>
    <t>MCSC125</t>
  </si>
  <si>
    <t>MCSC126</t>
  </si>
  <si>
    <t>MCSC127</t>
  </si>
  <si>
    <t>TSCW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</si>
  <si>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Source  Car Wash</t>
    </r>
  </si>
  <si>
    <t>TCCW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</si>
  <si>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Car Wash</t>
    </r>
  </si>
  <si>
    <t>TSCW128</t>
  </si>
  <si>
    <t>TCCW129</t>
  </si>
  <si>
    <t>MBCF128</t>
  </si>
  <si>
    <t>MBCF129</t>
  </si>
  <si>
    <t>MBCF130</t>
  </si>
  <si>
    <t>MBCF131</t>
  </si>
  <si>
    <t>MBCF132</t>
  </si>
  <si>
    <t>MBCF133</t>
  </si>
  <si>
    <t>MBCF134</t>
  </si>
  <si>
    <t>MBCF135</t>
  </si>
  <si>
    <t>TSSF136</t>
  </si>
  <si>
    <t>TCSF138</t>
  </si>
  <si>
    <t>MBCF</t>
  </si>
  <si>
    <t>Microbiz Beauty Comestics Furniture</t>
  </si>
  <si>
    <t>TSSF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</si>
  <si>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Source  Saloon Furniture</t>
    </r>
  </si>
  <si>
    <t>TCSF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</si>
  <si>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Saloon Furniture</t>
    </r>
  </si>
  <si>
    <t>Jay shades</t>
  </si>
  <si>
    <t>Zimbabwe Building Material Suppliers</t>
  </si>
  <si>
    <t>Graduation</t>
  </si>
  <si>
    <t xml:space="preserve">Boarding </t>
  </si>
  <si>
    <t>Mini Starter Kit</t>
  </si>
  <si>
    <t>Beauty and cosmetics (nails, hair, makeup)</t>
  </si>
  <si>
    <t xml:space="preserve">For Baking </t>
  </si>
  <si>
    <t>Stand Mixer</t>
  </si>
  <si>
    <t xml:space="preserve">For Beauty &amp; Cosmetics </t>
  </si>
  <si>
    <t>Hair blower ,Nail uv light, Flat iron,Loaded Cosmetic Box</t>
  </si>
  <si>
    <t>For Sewing</t>
  </si>
  <si>
    <t>Domestic Sewing Machine . Singer</t>
  </si>
  <si>
    <t>For Barber</t>
  </si>
  <si>
    <t>Proffessional Wahl original hair clipper</t>
  </si>
  <si>
    <t>Full  Starter Kit</t>
  </si>
  <si>
    <t>Standard Starter for Barber</t>
  </si>
  <si>
    <t xml:space="preserve">Standard Starter for Baking </t>
  </si>
  <si>
    <t>Standard Starter for  Sewing</t>
  </si>
  <si>
    <t>Excutive Barber Station</t>
  </si>
  <si>
    <t>Haudrolic Chair</t>
  </si>
  <si>
    <t>Proffesional Apron</t>
  </si>
  <si>
    <t>Trolley</t>
  </si>
  <si>
    <t>wahl/Kemei</t>
  </si>
  <si>
    <t xml:space="preserve"> Barbering professional</t>
  </si>
  <si>
    <t xml:space="preserve">1 Month Lessons </t>
  </si>
  <si>
    <t xml:space="preserve"> Cellphones and Tablet  Repairs (Beginers)</t>
  </si>
  <si>
    <t>Computer Repairs (Begginers hardware &amp;Soft ware</t>
  </si>
  <si>
    <t xml:space="preserve">1Month Lessons </t>
  </si>
  <si>
    <t xml:space="preserve">Car Key programing and Lock smith </t>
  </si>
  <si>
    <t>CCTV ,Access point and alarm systems</t>
  </si>
  <si>
    <t>Solar installation</t>
  </si>
  <si>
    <t>For Solar Installation</t>
  </si>
  <si>
    <t>For Cctv,Access Point and Alam system</t>
  </si>
  <si>
    <t>For Cellphones and tablet Repair</t>
  </si>
  <si>
    <t>For Barber Computer Repairs</t>
  </si>
  <si>
    <t>For Car key Programing and lock smith</t>
  </si>
  <si>
    <t>VOCATIONAL COURSES</t>
  </si>
  <si>
    <t>MPDT</t>
  </si>
  <si>
    <t>TSPD</t>
  </si>
  <si>
    <t>TCPD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</si>
  <si>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Personal Development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</si>
  <si>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Source  Personal Development</t>
    </r>
  </si>
  <si>
    <t>MPDT128</t>
  </si>
  <si>
    <t>MPDT129</t>
  </si>
  <si>
    <t>MPDT130</t>
  </si>
  <si>
    <t>MPDT131</t>
  </si>
  <si>
    <t>MPDT132</t>
  </si>
  <si>
    <t>MPDT133</t>
  </si>
  <si>
    <t>MPDT134</t>
  </si>
  <si>
    <t>MPDT135</t>
  </si>
  <si>
    <t>MPDT136</t>
  </si>
  <si>
    <t>MPDT137</t>
  </si>
  <si>
    <t>MPDT138</t>
  </si>
  <si>
    <t>MPDT139</t>
  </si>
  <si>
    <t>MPDT140</t>
  </si>
  <si>
    <t>MPDT141</t>
  </si>
  <si>
    <t>MPDT142</t>
  </si>
  <si>
    <t>MPDT143</t>
  </si>
  <si>
    <t>MPDT144</t>
  </si>
  <si>
    <t>MPDT145</t>
  </si>
  <si>
    <t>MPDT146</t>
  </si>
  <si>
    <t>MPDT147</t>
  </si>
  <si>
    <t>MPDT148</t>
  </si>
  <si>
    <t>MPDT149</t>
  </si>
  <si>
    <t>MPDT150</t>
  </si>
  <si>
    <t>MPDT151</t>
  </si>
  <si>
    <t>MPDT152</t>
  </si>
  <si>
    <t>MPDT153</t>
  </si>
  <si>
    <t>MPDT154</t>
  </si>
  <si>
    <t>MPDT155</t>
  </si>
  <si>
    <t>MPDT156</t>
  </si>
  <si>
    <t>MBCB</t>
  </si>
  <si>
    <t>Microbiz Personal Development Training</t>
  </si>
  <si>
    <t>Microbiz Beauty Comestics Barber</t>
  </si>
  <si>
    <t>TCBR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</si>
  <si>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Barber</t>
    </r>
  </si>
  <si>
    <t>TSBR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</si>
  <si>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Source  Barber</t>
    </r>
  </si>
  <si>
    <t>MBCB139</t>
  </si>
  <si>
    <t>MBCB140</t>
  </si>
  <si>
    <t>MBCB141</t>
  </si>
  <si>
    <t>MBCB142</t>
  </si>
  <si>
    <t>MBCB143</t>
  </si>
  <si>
    <t>MBCB144</t>
  </si>
  <si>
    <t>MBCB145</t>
  </si>
  <si>
    <t>MBCB146</t>
  </si>
  <si>
    <t>MBCB147</t>
  </si>
  <si>
    <t>MBCB148</t>
  </si>
  <si>
    <t>MBCB149</t>
  </si>
  <si>
    <t>MBCB150</t>
  </si>
  <si>
    <t>MBCB151</t>
  </si>
  <si>
    <t>MBCB152</t>
  </si>
  <si>
    <t>MBCB153</t>
  </si>
  <si>
    <t>MBCB154</t>
  </si>
  <si>
    <t>MBCB155</t>
  </si>
  <si>
    <t>MBCB156</t>
  </si>
  <si>
    <t>MBCB157</t>
  </si>
  <si>
    <t>MBCB158</t>
  </si>
  <si>
    <t>MBCB159</t>
  </si>
  <si>
    <t>MBCB160</t>
  </si>
  <si>
    <t>MBCB161</t>
  </si>
  <si>
    <t>MBCB162</t>
  </si>
  <si>
    <t>MBCB163</t>
  </si>
  <si>
    <t>MBCB164</t>
  </si>
  <si>
    <t>MBCB165</t>
  </si>
  <si>
    <t>MBCB166</t>
  </si>
  <si>
    <t>MBCB167</t>
  </si>
  <si>
    <t>MBCB168</t>
  </si>
  <si>
    <t>MBCB169</t>
  </si>
  <si>
    <t>MBCB170</t>
  </si>
  <si>
    <t>MBCB171</t>
  </si>
  <si>
    <t>MBCB172</t>
  </si>
  <si>
    <t>MBCB173</t>
  </si>
  <si>
    <t>MBCB174</t>
  </si>
  <si>
    <t>MBCB175</t>
  </si>
  <si>
    <t>MBCB176</t>
  </si>
  <si>
    <t>MBCB177</t>
  </si>
  <si>
    <t>TCBR178</t>
  </si>
  <si>
    <t>TSBR179</t>
  </si>
  <si>
    <t>Styling Foam</t>
  </si>
  <si>
    <t>Hair drayer big</t>
  </si>
  <si>
    <t>Hair drayer small</t>
  </si>
  <si>
    <t>Cometic sstorage box</t>
  </si>
  <si>
    <t>: BRAIDING,WEAVING,WIG INSTALLATION</t>
  </si>
  <si>
    <t>Nail station</t>
  </si>
  <si>
    <t>ChairS</t>
  </si>
  <si>
    <t xml:space="preserve"> Nails Consumables Pack</t>
  </si>
  <si>
    <t xml:space="preserve"> Make up Consumables Pack</t>
  </si>
  <si>
    <t>:MEDIA PRODUCTION</t>
  </si>
  <si>
    <t>:photography</t>
  </si>
  <si>
    <t xml:space="preserve">:Events Management </t>
  </si>
  <si>
    <t>:VEDIOGRAPHY &amp;  Photography</t>
  </si>
  <si>
    <t>Mobile Photo Printer</t>
  </si>
  <si>
    <t>SELPHY Canon</t>
  </si>
  <si>
    <t xml:space="preserve"> Extra Cartridge</t>
  </si>
  <si>
    <t>Capacity 36 Pages each x3</t>
  </si>
  <si>
    <t>Photo paper</t>
  </si>
  <si>
    <t>Fugi(100)</t>
  </si>
  <si>
    <t>SD card</t>
  </si>
  <si>
    <t>Sandisk 128gb extreme 200mb</t>
  </si>
  <si>
    <t>Speed light</t>
  </si>
  <si>
    <t xml:space="preserve">Godox TT 600 </t>
  </si>
  <si>
    <t>Soft box</t>
  </si>
  <si>
    <t xml:space="preserve">80 cm </t>
  </si>
  <si>
    <t>90 cm</t>
  </si>
  <si>
    <t>120cm</t>
  </si>
  <si>
    <t>Soft box stand</t>
  </si>
  <si>
    <t>Camera</t>
  </si>
  <si>
    <t>Canon 2000 D</t>
  </si>
  <si>
    <t>Spare battery</t>
  </si>
  <si>
    <t>Camera Bag</t>
  </si>
  <si>
    <t>Tripod Stand</t>
  </si>
  <si>
    <t>Zoom lense</t>
  </si>
  <si>
    <t>50 mm -250mm</t>
  </si>
  <si>
    <t>Back Drops</t>
  </si>
  <si>
    <t xml:space="preserve">3 meters x 6 meters </t>
  </si>
  <si>
    <t>Back Drops Bars</t>
  </si>
  <si>
    <t>GOLD</t>
  </si>
  <si>
    <t>Main Supplier                           1)</t>
  </si>
  <si>
    <t>Alternate Suplier</t>
  </si>
  <si>
    <t>????</t>
  </si>
  <si>
    <t>Alternate                          2)</t>
  </si>
  <si>
    <t>TSIM047</t>
  </si>
  <si>
    <t>???</t>
  </si>
  <si>
    <t>?</t>
  </si>
  <si>
    <t>??</t>
  </si>
  <si>
    <t>6-8 litres plastic</t>
  </si>
  <si>
    <t>3 litres antidrown dri</t>
  </si>
  <si>
    <t>Plastic drinker</t>
  </si>
  <si>
    <t>Plastic Feeder</t>
  </si>
  <si>
    <t>NHEMA</t>
  </si>
  <si>
    <t>Studio Umbrella</t>
  </si>
  <si>
    <t>Studio  umbrella stand</t>
  </si>
  <si>
    <t>Trigger</t>
  </si>
  <si>
    <t xml:space="preserve">1.5meters x 6 meters </t>
  </si>
  <si>
    <t>Extra battery</t>
  </si>
  <si>
    <t>Lighting kit</t>
  </si>
  <si>
    <t>Stand lighting kit</t>
  </si>
  <si>
    <t>MBCW</t>
  </si>
  <si>
    <t>Microbiz Beauty Cosmetics Weaving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</si>
  <si>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ransport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ource Cosmetics Weaving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</si>
  <si>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Cosmetics Weaving</t>
    </r>
  </si>
  <si>
    <t>Suppliers</t>
  </si>
  <si>
    <t>MTSM101</t>
  </si>
  <si>
    <t>Lucky Brands</t>
  </si>
  <si>
    <t>ZBMS</t>
  </si>
  <si>
    <t>Creative cosmetics</t>
  </si>
  <si>
    <t>: NAILS AND MAKEUP</t>
  </si>
  <si>
    <t>NAILS AND NAKE UP</t>
  </si>
  <si>
    <t>MBCW180</t>
  </si>
  <si>
    <t>MBCW181</t>
  </si>
  <si>
    <t>MBCW182</t>
  </si>
  <si>
    <t>MBCW183</t>
  </si>
  <si>
    <t>MBCW184</t>
  </si>
  <si>
    <t>MBCW185</t>
  </si>
  <si>
    <t>MBCW186</t>
  </si>
  <si>
    <t>MBCW187</t>
  </si>
  <si>
    <t>MBCW188</t>
  </si>
  <si>
    <t>MBCW189</t>
  </si>
  <si>
    <t>MBCW190</t>
  </si>
  <si>
    <t>MBCW191</t>
  </si>
  <si>
    <t>MBCW192</t>
  </si>
  <si>
    <t>MBCW193</t>
  </si>
  <si>
    <t>MBCW194</t>
  </si>
  <si>
    <t>MBCW195</t>
  </si>
  <si>
    <t>MBCW196</t>
  </si>
  <si>
    <t>MBCW197</t>
  </si>
  <si>
    <t>MBCW198</t>
  </si>
  <si>
    <t>MBCW199</t>
  </si>
  <si>
    <t>MBCW200</t>
  </si>
  <si>
    <t>MBCW201</t>
  </si>
  <si>
    <t>MBCW202</t>
  </si>
  <si>
    <t>MBCW203</t>
  </si>
  <si>
    <t>MBCW204</t>
  </si>
  <si>
    <t>MBCW205</t>
  </si>
  <si>
    <t>MBCW206</t>
  </si>
  <si>
    <t>MBCW207</t>
  </si>
  <si>
    <t>MBCW208</t>
  </si>
  <si>
    <t>MBCW209</t>
  </si>
  <si>
    <t>MBCW210</t>
  </si>
  <si>
    <t>MBCW211</t>
  </si>
  <si>
    <t>MBCW212</t>
  </si>
  <si>
    <t>MBCW213</t>
  </si>
  <si>
    <t>MBCW214</t>
  </si>
  <si>
    <t>TSCW215</t>
  </si>
  <si>
    <t>TCCW216</t>
  </si>
  <si>
    <t>MBNM</t>
  </si>
  <si>
    <t>Microbiz Beauty Nails &amp; Makeup</t>
  </si>
  <si>
    <t>TCNM</t>
  </si>
  <si>
    <t>TSNM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</si>
  <si>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Nails &amp; Makeup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</si>
  <si>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Source Nails &amp; Makeup</t>
    </r>
  </si>
  <si>
    <t>MBNM215</t>
  </si>
  <si>
    <t>MBNM216</t>
  </si>
  <si>
    <t>MBNM217</t>
  </si>
  <si>
    <t>MBNM218</t>
  </si>
  <si>
    <t>MBNM219</t>
  </si>
  <si>
    <t>MBNM220</t>
  </si>
  <si>
    <t>MBNM221</t>
  </si>
  <si>
    <t>MBNM222</t>
  </si>
  <si>
    <t>MBNM223</t>
  </si>
  <si>
    <t>MBNM224</t>
  </si>
  <si>
    <t>MBNM225</t>
  </si>
  <si>
    <t>MBNM226</t>
  </si>
  <si>
    <t>MBNM227</t>
  </si>
  <si>
    <t>MBNM228</t>
  </si>
  <si>
    <t>MBNM229</t>
  </si>
  <si>
    <t>MBNM230</t>
  </si>
  <si>
    <t>MBNM231</t>
  </si>
  <si>
    <t>MBNM232</t>
  </si>
  <si>
    <t>MBNM233</t>
  </si>
  <si>
    <t>MBNM234</t>
  </si>
  <si>
    <t>MBNM235</t>
  </si>
  <si>
    <t>MBNM236</t>
  </si>
  <si>
    <t>MBNM237</t>
  </si>
  <si>
    <t>MBNM238</t>
  </si>
  <si>
    <t>MBNM239</t>
  </si>
  <si>
    <t>MBNM240</t>
  </si>
  <si>
    <t>MBNM241</t>
  </si>
  <si>
    <t>MBNM242</t>
  </si>
  <si>
    <t>MBNM243</t>
  </si>
  <si>
    <t>MBNM244</t>
  </si>
  <si>
    <t>MBNM245</t>
  </si>
  <si>
    <t>MBNM246</t>
  </si>
  <si>
    <t>MBNM247</t>
  </si>
  <si>
    <t>MBNM248</t>
  </si>
  <si>
    <t>MBNM249</t>
  </si>
  <si>
    <t>MBNM250</t>
  </si>
  <si>
    <t>MBNM251</t>
  </si>
  <si>
    <t>MBNM252</t>
  </si>
  <si>
    <t>MBNM253</t>
  </si>
  <si>
    <t>MBNM254</t>
  </si>
  <si>
    <t>MBNM255</t>
  </si>
  <si>
    <t>MBNM256</t>
  </si>
  <si>
    <t>MBNM257</t>
  </si>
  <si>
    <t>MBNM258</t>
  </si>
  <si>
    <t>MBNM259</t>
  </si>
  <si>
    <t>MBNM260</t>
  </si>
  <si>
    <t>MBNM261</t>
  </si>
  <si>
    <t>MBNM262</t>
  </si>
  <si>
    <t>MBNM263</t>
  </si>
  <si>
    <t>MBNM264</t>
  </si>
  <si>
    <t>MBNM265</t>
  </si>
  <si>
    <t>MBNM266</t>
  </si>
  <si>
    <t>TSNM267</t>
  </si>
  <si>
    <t>TCNM268</t>
  </si>
  <si>
    <t>MBMP</t>
  </si>
  <si>
    <t>Microbiz Media production Photography</t>
  </si>
  <si>
    <t>TCMP</t>
  </si>
  <si>
    <t>TSMP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</si>
  <si>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Media producton Photography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</si>
  <si>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source Media producton Photography</t>
    </r>
  </si>
  <si>
    <t>MBMP267</t>
  </si>
  <si>
    <t>MBMP268</t>
  </si>
  <si>
    <t>MBMP269</t>
  </si>
  <si>
    <t>MBMP270</t>
  </si>
  <si>
    <t>MBMP271</t>
  </si>
  <si>
    <t>MBMP272</t>
  </si>
  <si>
    <t>MBMP273</t>
  </si>
  <si>
    <t>MBMP274</t>
  </si>
  <si>
    <t>MBMP275</t>
  </si>
  <si>
    <t>MBMP276</t>
  </si>
  <si>
    <t>MBMP277</t>
  </si>
  <si>
    <t>MBMP278</t>
  </si>
  <si>
    <t>MBMP279</t>
  </si>
  <si>
    <t>MBMP280</t>
  </si>
  <si>
    <t>MBMP281</t>
  </si>
  <si>
    <t>MBMP282</t>
  </si>
  <si>
    <t>MBMP283</t>
  </si>
  <si>
    <t>TSMP284</t>
  </si>
  <si>
    <t>TSMP285</t>
  </si>
  <si>
    <t>M</t>
  </si>
  <si>
    <t>VEDIOGRAPHY</t>
  </si>
  <si>
    <t>Photography</t>
  </si>
  <si>
    <t>photography</t>
  </si>
  <si>
    <t>:Events Management</t>
  </si>
  <si>
    <t>:Catering</t>
  </si>
  <si>
    <t xml:space="preserve">Chuffling </t>
  </si>
  <si>
    <t>Deco cuttlery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</si>
</sst>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0" fillId="0" borderId="5" xfId="0" applyBorder="1"/>
    <xf numFmtId="0" fontId="2" fillId="0" borderId="0" xfId="0" applyFont="1"/>
    <xf numFmtId="0" fontId="2" fillId="0" borderId="5" xfId="0" applyFont="1" applyBorder="1"/>
    <xf numFmtId="0" fontId="1" fillId="0" borderId="3" xfId="0" applyFont="1" applyBorder="1"/>
    <xf numFmtId="0" fontId="3" fillId="0" borderId="0" xfId="0" applyFont="1"/>
    <xf numFmtId="0" fontId="3" fillId="0" borderId="3" xfId="0" applyFont="1" applyBorder="1"/>
    <xf numFmtId="9" fontId="0" fillId="0" borderId="0" xfId="0" applyNumberFormat="1"/>
    <xf numFmtId="0" fontId="1" fillId="0" borderId="6" xfId="0" applyFont="1" applyBorder="1"/>
    <xf numFmtId="0" fontId="0" fillId="0" borderId="6" xfId="0" applyBorder="1"/>
    <xf numFmtId="0" fontId="0" fillId="0" borderId="8" xfId="0" applyBorder="1"/>
    <xf numFmtId="0" fontId="1" fillId="0" borderId="0" xfId="0" applyFont="1"/>
    <xf numFmtId="0" fontId="1" fillId="0" borderId="4" xfId="0" applyFont="1" applyBorder="1"/>
    <xf numFmtId="0" fontId="1" fillId="0" borderId="11" xfId="0" applyFont="1" applyBorder="1"/>
    <xf numFmtId="1" fontId="0" fillId="0" borderId="0" xfId="0" applyNumberFormat="1"/>
    <xf numFmtId="0" fontId="0" fillId="0" borderId="11" xfId="0" applyBorder="1"/>
    <xf numFmtId="1" fontId="0" fillId="0" borderId="3" xfId="0" applyNumberFormat="1" applyBorder="1"/>
    <xf numFmtId="0" fontId="0" fillId="0" borderId="12" xfId="0" applyBorder="1"/>
    <xf numFmtId="0" fontId="0" fillId="0" borderId="13" xfId="0" applyBorder="1"/>
    <xf numFmtId="1" fontId="1" fillId="0" borderId="3" xfId="0" applyNumberFormat="1" applyFont="1" applyBorder="1"/>
    <xf numFmtId="0" fontId="0" fillId="0" borderId="0" xfId="0" applyAlignment="1">
      <alignment horizontal="center"/>
    </xf>
    <xf numFmtId="0" fontId="0" fillId="0" borderId="14" xfId="0" applyBorder="1"/>
    <xf numFmtId="0" fontId="0" fillId="0" borderId="3" xfId="0" applyBorder="1" applyAlignment="1">
      <alignment wrapText="1"/>
    </xf>
    <xf numFmtId="0" fontId="1" fillId="0" borderId="8" xfId="0" applyFont="1" applyBorder="1"/>
    <xf numFmtId="0" fontId="0" fillId="0" borderId="0" xfId="0" applyAlignment="1">
      <alignment horizontal="right"/>
    </xf>
    <xf numFmtId="9" fontId="1" fillId="0" borderId="0" xfId="0" applyNumberFormat="1" applyFont="1" applyAlignment="1">
      <alignment horizontal="left"/>
    </xf>
    <xf numFmtId="9" fontId="1" fillId="0" borderId="0" xfId="0" applyNumberFormat="1" applyFont="1"/>
    <xf numFmtId="0" fontId="1" fillId="0" borderId="5" xfId="0" applyFont="1" applyBorder="1"/>
    <xf numFmtId="0" fontId="0" fillId="0" borderId="3" xfId="0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2" xfId="0" applyFont="1" applyBorder="1"/>
    <xf numFmtId="0" fontId="1" fillId="0" borderId="9" xfId="0" applyFont="1" applyBorder="1"/>
    <xf numFmtId="0" fontId="1" fillId="0" borderId="17" xfId="0" applyFont="1" applyBorder="1"/>
    <xf numFmtId="0" fontId="1" fillId="0" borderId="10" xfId="0" applyFont="1" applyBorder="1"/>
    <xf numFmtId="0" fontId="1" fillId="0" borderId="3" xfId="0" applyFont="1" applyBorder="1" applyAlignment="1">
      <alignment horizontal="right"/>
    </xf>
    <xf numFmtId="3" fontId="0" fillId="0" borderId="0" xfId="0" applyNumberFormat="1" applyAlignment="1">
      <alignment horizontal="right"/>
    </xf>
    <xf numFmtId="1" fontId="0" fillId="0" borderId="13" xfId="0" applyNumberFormat="1" applyBorder="1"/>
    <xf numFmtId="0" fontId="0" fillId="0" borderId="18" xfId="0" applyBorder="1"/>
    <xf numFmtId="0" fontId="0" fillId="0" borderId="3" xfId="0" applyBorder="1" applyAlignment="1">
      <alignment horizontal="left" wrapText="1"/>
    </xf>
    <xf numFmtId="0" fontId="0" fillId="0" borderId="19" xfId="0" applyBorder="1"/>
    <xf numFmtId="0" fontId="1" fillId="0" borderId="19" xfId="0" applyFont="1" applyBorder="1"/>
    <xf numFmtId="0" fontId="1" fillId="0" borderId="7" xfId="0" applyFont="1" applyBorder="1"/>
    <xf numFmtId="0" fontId="2" fillId="0" borderId="19" xfId="0" applyFont="1" applyBorder="1"/>
    <xf numFmtId="0" fontId="0" fillId="0" borderId="3" xfId="0" applyBorder="1" applyAlignment="1">
      <alignment horizontal="left"/>
    </xf>
    <xf numFmtId="0" fontId="5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19" xfId="0" applyFont="1" applyBorder="1"/>
    <xf numFmtId="0" fontId="1" fillId="0" borderId="13" xfId="0" applyFont="1" applyBorder="1"/>
    <xf numFmtId="9" fontId="1" fillId="0" borderId="3" xfId="0" applyNumberFormat="1" applyFont="1" applyBorder="1" applyAlignment="1">
      <alignment horizontal="left"/>
    </xf>
    <xf numFmtId="9" fontId="1" fillId="0" borderId="3" xfId="0" applyNumberFormat="1" applyFont="1" applyBorder="1"/>
    <xf numFmtId="0" fontId="1" fillId="0" borderId="20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4959-CD93-4A01-98AC-929F4430F721}">
  <dimension ref="A1:C51"/>
  <sheetViews>
    <sheetView workbookViewId="0">
      <selection activeCell="B20" sqref="B20"/>
    </sheetView>
  </sheetViews>
  <sheetFormatPr defaultRowHeight="15" x14ac:dyDescent="0.25"/>
  <cols>
    <col min="1" max="1" width="23.7109375" customWidth="1"/>
    <col min="2" max="2" width="40.140625" customWidth="1"/>
    <col min="3" max="3" width="50.7109375" customWidth="1"/>
  </cols>
  <sheetData>
    <row r="1" spans="1:3" x14ac:dyDescent="0.25">
      <c r="A1" s="7" t="s">
        <v>224</v>
      </c>
      <c r="B1" s="7" t="s">
        <v>225</v>
      </c>
      <c r="C1" s="7" t="s">
        <v>226</v>
      </c>
    </row>
    <row r="2" spans="1:3" x14ac:dyDescent="0.25">
      <c r="A2" s="1"/>
      <c r="B2" s="1"/>
      <c r="C2" s="1"/>
    </row>
    <row r="3" spans="1:3" x14ac:dyDescent="0.25">
      <c r="A3" s="1" t="s">
        <v>382</v>
      </c>
      <c r="B3" s="1" t="s">
        <v>223</v>
      </c>
      <c r="C3" s="1" t="s">
        <v>228</v>
      </c>
    </row>
    <row r="4" spans="1:3" x14ac:dyDescent="0.25">
      <c r="A4" s="1"/>
      <c r="B4" s="1" t="s">
        <v>209</v>
      </c>
      <c r="C4" s="1" t="s">
        <v>229</v>
      </c>
    </row>
    <row r="5" spans="1:3" x14ac:dyDescent="0.25">
      <c r="A5" s="1"/>
      <c r="B5" s="1" t="s">
        <v>227</v>
      </c>
      <c r="C5" s="1" t="s">
        <v>230</v>
      </c>
    </row>
    <row r="6" spans="1:3" x14ac:dyDescent="0.25">
      <c r="A6" s="1"/>
      <c r="B6" s="1" t="s">
        <v>302</v>
      </c>
      <c r="C6" s="1" t="s">
        <v>304</v>
      </c>
    </row>
    <row r="7" spans="1:3" x14ac:dyDescent="0.25">
      <c r="A7" s="1"/>
      <c r="B7" s="1" t="s">
        <v>303</v>
      </c>
      <c r="C7" s="1" t="s">
        <v>305</v>
      </c>
    </row>
    <row r="8" spans="1:3" x14ac:dyDescent="0.25">
      <c r="A8" s="1"/>
      <c r="B8" s="1" t="s">
        <v>434</v>
      </c>
      <c r="C8" s="1" t="s">
        <v>433</v>
      </c>
    </row>
    <row r="9" spans="1:3" x14ac:dyDescent="0.25">
      <c r="A9" s="1"/>
      <c r="B9" s="1" t="s">
        <v>299</v>
      </c>
      <c r="C9" s="1" t="s">
        <v>300</v>
      </c>
    </row>
    <row r="10" spans="1:3" x14ac:dyDescent="0.25">
      <c r="A10" s="1"/>
      <c r="B10" s="1" t="s">
        <v>447</v>
      </c>
      <c r="C10" s="1" t="s">
        <v>446</v>
      </c>
    </row>
    <row r="11" spans="1:3" x14ac:dyDescent="0.25">
      <c r="A11" s="1"/>
      <c r="B11" s="1" t="s">
        <v>463</v>
      </c>
      <c r="C11" s="1" t="s">
        <v>509</v>
      </c>
    </row>
    <row r="12" spans="1:3" x14ac:dyDescent="0.25">
      <c r="A12" s="1"/>
      <c r="B12" s="1" t="s">
        <v>512</v>
      </c>
      <c r="C12" s="1" t="s">
        <v>513</v>
      </c>
    </row>
    <row r="13" spans="1:3" x14ac:dyDescent="0.25">
      <c r="A13" s="1"/>
      <c r="B13" s="1" t="s">
        <v>547</v>
      </c>
      <c r="C13" s="1" t="s">
        <v>548</v>
      </c>
    </row>
    <row r="14" spans="1:3" x14ac:dyDescent="0.25">
      <c r="A14" s="1"/>
      <c r="B14" s="1" t="s">
        <v>575</v>
      </c>
      <c r="C14" s="1" t="s">
        <v>576</v>
      </c>
    </row>
    <row r="15" spans="1:3" x14ac:dyDescent="0.25">
      <c r="A15" s="1"/>
      <c r="B15" s="1" t="s">
        <v>618</v>
      </c>
      <c r="C15" s="1" t="s">
        <v>653</v>
      </c>
    </row>
    <row r="16" spans="1:3" x14ac:dyDescent="0.25">
      <c r="A16" s="1"/>
      <c r="B16" s="1" t="s">
        <v>652</v>
      </c>
      <c r="C16" s="1" t="s">
        <v>654</v>
      </c>
    </row>
    <row r="17" spans="1:3" x14ac:dyDescent="0.25">
      <c r="A17" s="1"/>
      <c r="B17" s="1" t="s">
        <v>759</v>
      </c>
      <c r="C17" s="1" t="s">
        <v>760</v>
      </c>
    </row>
    <row r="18" spans="1:3" x14ac:dyDescent="0.25">
      <c r="A18" s="1"/>
      <c r="B18" s="1" t="s">
        <v>807</v>
      </c>
      <c r="C18" s="1" t="s">
        <v>808</v>
      </c>
    </row>
    <row r="19" spans="1:3" x14ac:dyDescent="0.25">
      <c r="A19" s="1"/>
      <c r="B19" s="1" t="s">
        <v>867</v>
      </c>
      <c r="C19" s="1" t="s">
        <v>868</v>
      </c>
    </row>
    <row r="20" spans="1:3" x14ac:dyDescent="0.25">
      <c r="A20" s="1"/>
      <c r="B20" s="1" t="s">
        <v>892</v>
      </c>
      <c r="C20" s="1" t="s">
        <v>300</v>
      </c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 t="s">
        <v>870</v>
      </c>
      <c r="C26" s="1" t="s">
        <v>872</v>
      </c>
    </row>
    <row r="27" spans="1:3" x14ac:dyDescent="0.25">
      <c r="A27" s="1"/>
      <c r="B27" s="1" t="s">
        <v>869</v>
      </c>
      <c r="C27" s="1" t="s">
        <v>871</v>
      </c>
    </row>
    <row r="28" spans="1:3" x14ac:dyDescent="0.25">
      <c r="A28" s="1"/>
      <c r="B28" s="1" t="s">
        <v>809</v>
      </c>
      <c r="C28" s="1" t="s">
        <v>811</v>
      </c>
    </row>
    <row r="29" spans="1:3" x14ac:dyDescent="0.25">
      <c r="A29" s="1"/>
      <c r="B29" s="1" t="s">
        <v>810</v>
      </c>
      <c r="C29" s="1" t="s">
        <v>812</v>
      </c>
    </row>
    <row r="30" spans="1:3" x14ac:dyDescent="0.25">
      <c r="A30" s="1"/>
      <c r="B30" s="1" t="s">
        <v>561</v>
      </c>
      <c r="C30" s="1" t="s">
        <v>762</v>
      </c>
    </row>
    <row r="31" spans="1:3" x14ac:dyDescent="0.25">
      <c r="A31" s="1"/>
      <c r="B31" s="1" t="s">
        <v>559</v>
      </c>
      <c r="C31" s="1" t="s">
        <v>761</v>
      </c>
    </row>
    <row r="32" spans="1:3" x14ac:dyDescent="0.25">
      <c r="A32" s="1"/>
      <c r="B32" s="1" t="s">
        <v>308</v>
      </c>
      <c r="C32" s="1" t="s">
        <v>306</v>
      </c>
    </row>
    <row r="33" spans="1:3" x14ac:dyDescent="0.25">
      <c r="A33" s="1"/>
      <c r="B33" s="1" t="s">
        <v>309</v>
      </c>
      <c r="C33" s="1" t="s">
        <v>307</v>
      </c>
    </row>
    <row r="34" spans="1:3" x14ac:dyDescent="0.25">
      <c r="A34" s="1"/>
      <c r="B34" s="1" t="s">
        <v>314</v>
      </c>
      <c r="C34" s="1" t="s">
        <v>317</v>
      </c>
    </row>
    <row r="35" spans="1:3" x14ac:dyDescent="0.25">
      <c r="A35" s="1"/>
      <c r="B35" s="1" t="s">
        <v>315</v>
      </c>
      <c r="C35" s="1" t="s">
        <v>318</v>
      </c>
    </row>
    <row r="36" spans="1:3" x14ac:dyDescent="0.25">
      <c r="A36" s="1"/>
      <c r="B36" s="1" t="s">
        <v>319</v>
      </c>
      <c r="C36" s="1" t="s">
        <v>321</v>
      </c>
    </row>
    <row r="37" spans="1:3" x14ac:dyDescent="0.25">
      <c r="A37" s="1"/>
      <c r="B37" s="1" t="s">
        <v>320</v>
      </c>
      <c r="C37" s="1" t="s">
        <v>322</v>
      </c>
    </row>
    <row r="38" spans="1:3" x14ac:dyDescent="0.25">
      <c r="A38" s="1"/>
      <c r="B38" s="1" t="s">
        <v>444</v>
      </c>
      <c r="C38" s="1" t="s">
        <v>448</v>
      </c>
    </row>
    <row r="39" spans="1:3" x14ac:dyDescent="0.25">
      <c r="A39" s="1"/>
      <c r="B39" s="1" t="s">
        <v>445</v>
      </c>
      <c r="C39" s="1" t="s">
        <v>449</v>
      </c>
    </row>
    <row r="40" spans="1:3" x14ac:dyDescent="0.25">
      <c r="A40" s="1"/>
      <c r="B40" s="1" t="s">
        <v>451</v>
      </c>
      <c r="C40" s="1" t="s">
        <v>450</v>
      </c>
    </row>
    <row r="41" spans="1:3" x14ac:dyDescent="0.25">
      <c r="A41" s="1"/>
      <c r="B41" s="1" t="s">
        <v>452</v>
      </c>
      <c r="C41" s="1" t="s">
        <v>453</v>
      </c>
    </row>
    <row r="42" spans="1:3" x14ac:dyDescent="0.25">
      <c r="A42" s="1"/>
      <c r="B42" s="1" t="s">
        <v>464</v>
      </c>
      <c r="C42" s="1" t="s">
        <v>510</v>
      </c>
    </row>
    <row r="43" spans="1:3" x14ac:dyDescent="0.25">
      <c r="A43" s="1"/>
      <c r="B43" s="1" t="s">
        <v>465</v>
      </c>
      <c r="C43" s="1" t="s">
        <v>511</v>
      </c>
    </row>
    <row r="44" spans="1:3" x14ac:dyDescent="0.25">
      <c r="A44" s="1"/>
      <c r="B44" s="1" t="s">
        <v>559</v>
      </c>
      <c r="C44" s="1" t="s">
        <v>560</v>
      </c>
    </row>
    <row r="45" spans="1:3" x14ac:dyDescent="0.25">
      <c r="A45" s="1"/>
      <c r="B45" s="1" t="s">
        <v>561</v>
      </c>
      <c r="C45" s="1" t="s">
        <v>562</v>
      </c>
    </row>
    <row r="46" spans="1:3" x14ac:dyDescent="0.25">
      <c r="A46" s="1"/>
      <c r="B46" s="1" t="s">
        <v>577</v>
      </c>
      <c r="C46" s="1" t="s">
        <v>578</v>
      </c>
    </row>
    <row r="47" spans="1:3" x14ac:dyDescent="0.25">
      <c r="A47" s="1"/>
      <c r="B47" s="1" t="s">
        <v>579</v>
      </c>
      <c r="C47" s="1" t="s">
        <v>580</v>
      </c>
    </row>
    <row r="48" spans="1:3" x14ac:dyDescent="0.25">
      <c r="A48" s="1"/>
      <c r="B48" s="1" t="s">
        <v>619</v>
      </c>
      <c r="C48" s="1" t="s">
        <v>621</v>
      </c>
    </row>
    <row r="49" spans="1:3" x14ac:dyDescent="0.25">
      <c r="A49" s="1"/>
      <c r="B49" s="1" t="s">
        <v>620</v>
      </c>
      <c r="C49" s="1" t="s">
        <v>622</v>
      </c>
    </row>
    <row r="50" spans="1:3" x14ac:dyDescent="0.25">
      <c r="A50" s="1"/>
      <c r="B50" s="1" t="s">
        <v>655</v>
      </c>
      <c r="C50" s="1" t="s">
        <v>656</v>
      </c>
    </row>
    <row r="51" spans="1:3" x14ac:dyDescent="0.25">
      <c r="A51" s="1"/>
      <c r="B51" s="1" t="s">
        <v>657</v>
      </c>
      <c r="C51" s="1" t="s">
        <v>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365E-12ED-420B-960E-E03D71A60B26}">
  <dimension ref="A1:Q50"/>
  <sheetViews>
    <sheetView topLeftCell="A15" workbookViewId="0">
      <selection activeCell="D47" sqref="D47"/>
    </sheetView>
  </sheetViews>
  <sheetFormatPr defaultRowHeight="15" x14ac:dyDescent="0.25"/>
  <cols>
    <col min="1" max="1" width="21.42578125" customWidth="1"/>
    <col min="2" max="2" width="16" customWidth="1"/>
    <col min="3" max="3" width="27.140625" customWidth="1"/>
    <col min="4" max="4" width="21.28515625" customWidth="1"/>
  </cols>
  <sheetData>
    <row r="1" spans="1:17" x14ac:dyDescent="0.25">
      <c r="A1" s="14" t="s">
        <v>198</v>
      </c>
      <c r="B1" s="14"/>
      <c r="C1" s="14" t="s">
        <v>196</v>
      </c>
    </row>
    <row r="2" spans="1:17" x14ac:dyDescent="0.25">
      <c r="A2" s="14" t="s">
        <v>195</v>
      </c>
      <c r="B2" s="14"/>
      <c r="C2" s="14" t="s">
        <v>197</v>
      </c>
    </row>
    <row r="3" spans="1:17" ht="15.75" thickBot="1" x14ac:dyDescent="0.3"/>
    <row r="4" spans="1:17" ht="15.75" thickBot="1" x14ac:dyDescent="0.3">
      <c r="A4" s="47" t="s">
        <v>6</v>
      </c>
      <c r="B4" s="14"/>
      <c r="C4" s="28"/>
      <c r="D4" s="14"/>
      <c r="E4" s="29"/>
      <c r="G4" s="58" t="s">
        <v>0</v>
      </c>
      <c r="H4" s="59"/>
      <c r="J4" s="58" t="s">
        <v>1</v>
      </c>
      <c r="K4" s="59"/>
      <c r="M4" s="58" t="s">
        <v>20</v>
      </c>
      <c r="N4" s="59"/>
      <c r="P4" s="58" t="s">
        <v>290</v>
      </c>
      <c r="Q4" s="59"/>
    </row>
    <row r="5" spans="1:17" x14ac:dyDescent="0.25">
      <c r="A5" s="50" t="s">
        <v>331</v>
      </c>
      <c r="B5" s="51" t="s">
        <v>527</v>
      </c>
      <c r="C5" s="51" t="s">
        <v>158</v>
      </c>
      <c r="D5" s="51" t="s">
        <v>153</v>
      </c>
      <c r="E5" s="51" t="s">
        <v>3</v>
      </c>
      <c r="F5" s="52"/>
      <c r="G5" s="50" t="s">
        <v>4</v>
      </c>
      <c r="H5" s="50" t="s">
        <v>5</v>
      </c>
      <c r="I5" s="52"/>
      <c r="J5" s="50" t="s">
        <v>4</v>
      </c>
      <c r="K5" s="50" t="s">
        <v>5</v>
      </c>
      <c r="L5" s="52"/>
      <c r="M5" s="50" t="s">
        <v>4</v>
      </c>
      <c r="N5" s="50" t="s">
        <v>5</v>
      </c>
      <c r="P5" s="50" t="s">
        <v>4</v>
      </c>
      <c r="Q5" s="50" t="s">
        <v>5</v>
      </c>
    </row>
    <row r="6" spans="1:17" x14ac:dyDescent="0.25">
      <c r="A6" s="49" t="s">
        <v>194</v>
      </c>
      <c r="B6" s="49" t="s">
        <v>181</v>
      </c>
      <c r="C6" s="1" t="s">
        <v>152</v>
      </c>
      <c r="D6" s="1" t="s">
        <v>154</v>
      </c>
      <c r="E6" s="1">
        <v>1</v>
      </c>
      <c r="G6" s="1">
        <v>50</v>
      </c>
      <c r="H6" s="1">
        <f>E6*G6</f>
        <v>50</v>
      </c>
      <c r="J6" s="1">
        <v>100</v>
      </c>
      <c r="K6" s="1">
        <f>E6*J6</f>
        <v>100</v>
      </c>
      <c r="M6" s="1">
        <v>100</v>
      </c>
      <c r="N6" s="1">
        <f>E6*M6</f>
        <v>100</v>
      </c>
      <c r="P6" s="1">
        <v>200</v>
      </c>
      <c r="Q6" s="1">
        <f>P6*E6</f>
        <v>200</v>
      </c>
    </row>
    <row r="7" spans="1:17" x14ac:dyDescent="0.25">
      <c r="A7" s="49"/>
      <c r="B7" s="49"/>
      <c r="C7" s="1"/>
      <c r="D7" s="1"/>
      <c r="E7" s="1"/>
      <c r="G7" s="1"/>
      <c r="H7" s="1"/>
      <c r="J7" s="1"/>
      <c r="K7" s="1"/>
      <c r="M7" s="1"/>
      <c r="N7" s="1"/>
      <c r="P7" s="1"/>
      <c r="Q7" s="1"/>
    </row>
    <row r="8" spans="1:17" x14ac:dyDescent="0.25">
      <c r="A8" s="49"/>
      <c r="B8" s="49" t="s">
        <v>181</v>
      </c>
      <c r="C8" s="3" t="s">
        <v>7</v>
      </c>
      <c r="D8" s="1"/>
      <c r="E8" s="1"/>
      <c r="G8" s="1"/>
      <c r="H8" s="1"/>
      <c r="J8" s="1"/>
      <c r="K8" s="1"/>
      <c r="M8" s="1"/>
      <c r="N8" s="1"/>
      <c r="P8" s="1"/>
      <c r="Q8" s="1"/>
    </row>
    <row r="9" spans="1:17" x14ac:dyDescent="0.25">
      <c r="A9" s="49" t="s">
        <v>199</v>
      </c>
      <c r="B9" s="49"/>
      <c r="C9" s="1" t="s">
        <v>157</v>
      </c>
      <c r="D9" s="1" t="s">
        <v>155</v>
      </c>
      <c r="E9" s="1">
        <v>18</v>
      </c>
      <c r="G9" s="1">
        <v>1</v>
      </c>
      <c r="H9" s="1">
        <f t="shared" ref="H9:H37" si="0">E9*G9</f>
        <v>18</v>
      </c>
      <c r="J9" s="1">
        <v>0</v>
      </c>
      <c r="K9" s="1">
        <f t="shared" ref="K9:K37" si="1">E9*J9</f>
        <v>0</v>
      </c>
      <c r="M9" s="1">
        <v>0</v>
      </c>
      <c r="N9" s="1">
        <f t="shared" ref="N9:N41" si="2">E9*M9</f>
        <v>0</v>
      </c>
      <c r="P9" s="1">
        <v>0</v>
      </c>
      <c r="Q9" s="1">
        <f>P9*E9</f>
        <v>0</v>
      </c>
    </row>
    <row r="10" spans="1:17" x14ac:dyDescent="0.25">
      <c r="A10" s="49" t="s">
        <v>200</v>
      </c>
      <c r="B10" s="49"/>
      <c r="C10" s="1" t="s">
        <v>160</v>
      </c>
      <c r="D10" s="1" t="s">
        <v>156</v>
      </c>
      <c r="E10" s="1">
        <v>36</v>
      </c>
      <c r="G10" s="1">
        <v>0</v>
      </c>
      <c r="H10" s="1">
        <f t="shared" si="0"/>
        <v>0</v>
      </c>
      <c r="J10" s="1">
        <v>1</v>
      </c>
      <c r="K10" s="1">
        <f t="shared" si="1"/>
        <v>36</v>
      </c>
      <c r="M10" s="1">
        <v>1</v>
      </c>
      <c r="N10" s="1">
        <f t="shared" si="2"/>
        <v>36</v>
      </c>
      <c r="P10" s="1">
        <v>2</v>
      </c>
      <c r="Q10" s="1">
        <f t="shared" ref="Q10:Q14" si="3">P10*E10</f>
        <v>72</v>
      </c>
    </row>
    <row r="11" spans="1:17" x14ac:dyDescent="0.25">
      <c r="A11" s="49" t="s">
        <v>201</v>
      </c>
      <c r="B11" s="49"/>
      <c r="C11" s="1" t="s">
        <v>161</v>
      </c>
      <c r="D11" s="1" t="s">
        <v>156</v>
      </c>
      <c r="E11" s="1">
        <v>35</v>
      </c>
      <c r="G11" s="1">
        <v>1</v>
      </c>
      <c r="H11" s="1">
        <f t="shared" si="0"/>
        <v>35</v>
      </c>
      <c r="J11" s="1">
        <v>3</v>
      </c>
      <c r="K11" s="1">
        <f t="shared" si="1"/>
        <v>105</v>
      </c>
      <c r="M11" s="1">
        <v>3</v>
      </c>
      <c r="N11" s="1">
        <f t="shared" si="2"/>
        <v>105</v>
      </c>
      <c r="P11" s="1">
        <v>6</v>
      </c>
      <c r="Q11" s="1">
        <f t="shared" si="3"/>
        <v>210</v>
      </c>
    </row>
    <row r="12" spans="1:17" x14ac:dyDescent="0.25">
      <c r="A12" s="49" t="s">
        <v>202</v>
      </c>
      <c r="B12" s="49"/>
      <c r="C12" s="1" t="s">
        <v>161</v>
      </c>
      <c r="D12" s="1" t="s">
        <v>155</v>
      </c>
      <c r="E12" s="1">
        <v>18</v>
      </c>
      <c r="G12" s="1">
        <v>1</v>
      </c>
      <c r="H12" s="1">
        <f t="shared" si="0"/>
        <v>18</v>
      </c>
      <c r="J12" s="1">
        <v>0</v>
      </c>
      <c r="K12" s="1">
        <f t="shared" si="1"/>
        <v>0</v>
      </c>
      <c r="M12" s="1">
        <v>0</v>
      </c>
      <c r="N12" s="1">
        <f t="shared" si="2"/>
        <v>0</v>
      </c>
      <c r="P12" s="1">
        <v>0</v>
      </c>
      <c r="Q12" s="1">
        <f t="shared" si="3"/>
        <v>0</v>
      </c>
    </row>
    <row r="13" spans="1:17" x14ac:dyDescent="0.25">
      <c r="A13" s="49" t="s">
        <v>203</v>
      </c>
      <c r="B13" s="49"/>
      <c r="C13" s="1" t="s">
        <v>162</v>
      </c>
      <c r="D13" s="1" t="s">
        <v>156</v>
      </c>
      <c r="E13" s="1">
        <v>34</v>
      </c>
      <c r="G13" s="1">
        <v>1</v>
      </c>
      <c r="H13" s="1">
        <f t="shared" si="0"/>
        <v>34</v>
      </c>
      <c r="J13" s="1">
        <v>3</v>
      </c>
      <c r="K13" s="1">
        <f t="shared" si="1"/>
        <v>102</v>
      </c>
      <c r="M13" s="1">
        <v>3</v>
      </c>
      <c r="N13" s="1">
        <f t="shared" si="2"/>
        <v>102</v>
      </c>
      <c r="P13" s="1">
        <v>6</v>
      </c>
      <c r="Q13" s="1">
        <f t="shared" si="3"/>
        <v>204</v>
      </c>
    </row>
    <row r="14" spans="1:17" x14ac:dyDescent="0.25">
      <c r="A14" s="49" t="s">
        <v>204</v>
      </c>
      <c r="B14" s="49"/>
      <c r="C14" s="1" t="s">
        <v>162</v>
      </c>
      <c r="D14" s="1" t="s">
        <v>155</v>
      </c>
      <c r="E14" s="1">
        <v>17.5</v>
      </c>
      <c r="G14" s="1">
        <v>1</v>
      </c>
      <c r="H14" s="1">
        <f t="shared" si="0"/>
        <v>17.5</v>
      </c>
      <c r="J14" s="1">
        <v>0</v>
      </c>
      <c r="K14" s="1">
        <f t="shared" si="1"/>
        <v>0</v>
      </c>
      <c r="M14" s="1"/>
      <c r="N14" s="1">
        <f t="shared" si="2"/>
        <v>0</v>
      </c>
      <c r="P14" s="1"/>
      <c r="Q14" s="1">
        <f t="shared" si="3"/>
        <v>0</v>
      </c>
    </row>
    <row r="15" spans="1:17" x14ac:dyDescent="0.25">
      <c r="A15" s="49"/>
      <c r="B15" s="49"/>
      <c r="C15" s="1"/>
      <c r="D15" s="1"/>
      <c r="E15" s="1"/>
      <c r="G15" s="1"/>
      <c r="H15" s="1"/>
      <c r="J15" s="1"/>
      <c r="K15" s="1"/>
      <c r="M15" s="1"/>
      <c r="N15" s="1"/>
      <c r="P15" s="1"/>
      <c r="Q15" s="1"/>
    </row>
    <row r="16" spans="1:17" x14ac:dyDescent="0.25">
      <c r="A16" s="49"/>
      <c r="B16" s="49" t="s">
        <v>181</v>
      </c>
      <c r="C16" s="7" t="s">
        <v>47</v>
      </c>
      <c r="D16" s="1"/>
      <c r="E16" s="1"/>
      <c r="G16" s="1"/>
      <c r="H16" s="1"/>
      <c r="J16" s="1"/>
      <c r="K16" s="1"/>
      <c r="M16" s="1"/>
      <c r="N16" s="1"/>
      <c r="P16" s="1"/>
      <c r="Q16" s="1"/>
    </row>
    <row r="17" spans="1:17" x14ac:dyDescent="0.25">
      <c r="A17" s="49" t="s">
        <v>205</v>
      </c>
      <c r="B17" s="49"/>
      <c r="C17" s="1" t="s">
        <v>165</v>
      </c>
      <c r="D17" s="1" t="s">
        <v>163</v>
      </c>
      <c r="E17" s="1">
        <v>2</v>
      </c>
      <c r="G17" s="1">
        <v>1</v>
      </c>
      <c r="H17" s="1">
        <f t="shared" ref="H17:H19" si="4">E17*G17</f>
        <v>2</v>
      </c>
      <c r="J17" s="1">
        <v>1</v>
      </c>
      <c r="K17" s="1">
        <f t="shared" ref="K17:K19" si="5">E17*J17</f>
        <v>2</v>
      </c>
      <c r="M17" s="1">
        <v>1</v>
      </c>
      <c r="N17" s="1">
        <f t="shared" ref="N17:N19" si="6">E17*M17</f>
        <v>2</v>
      </c>
      <c r="P17" s="1">
        <v>2</v>
      </c>
      <c r="Q17" s="1">
        <f t="shared" ref="Q17:Q19" si="7">H17*P17</f>
        <v>4</v>
      </c>
    </row>
    <row r="18" spans="1:17" x14ac:dyDescent="0.25">
      <c r="A18" s="49" t="s">
        <v>206</v>
      </c>
      <c r="B18" s="49"/>
      <c r="C18" s="1" t="s">
        <v>166</v>
      </c>
      <c r="D18" s="1" t="s">
        <v>164</v>
      </c>
      <c r="E18" s="1">
        <v>4.2</v>
      </c>
      <c r="G18" s="1">
        <v>1</v>
      </c>
      <c r="H18" s="1">
        <f t="shared" si="4"/>
        <v>4.2</v>
      </c>
      <c r="J18" s="1">
        <v>1</v>
      </c>
      <c r="K18" s="1">
        <f t="shared" si="5"/>
        <v>4.2</v>
      </c>
      <c r="M18" s="1">
        <v>1</v>
      </c>
      <c r="N18" s="1">
        <f t="shared" si="6"/>
        <v>4.2</v>
      </c>
      <c r="P18" s="1">
        <v>2</v>
      </c>
      <c r="Q18" s="1">
        <f t="shared" si="7"/>
        <v>8.4</v>
      </c>
    </row>
    <row r="19" spans="1:17" x14ac:dyDescent="0.25">
      <c r="A19" s="49" t="s">
        <v>210</v>
      </c>
      <c r="B19" s="49"/>
      <c r="C19" s="1" t="s">
        <v>19</v>
      </c>
      <c r="D19" s="1"/>
      <c r="E19" s="1">
        <v>6.34</v>
      </c>
      <c r="G19" s="1">
        <v>1</v>
      </c>
      <c r="H19" s="1">
        <f t="shared" si="4"/>
        <v>6.34</v>
      </c>
      <c r="J19" s="1">
        <v>1</v>
      </c>
      <c r="K19" s="1">
        <f t="shared" si="5"/>
        <v>6.34</v>
      </c>
      <c r="M19" s="1">
        <v>1</v>
      </c>
      <c r="N19" s="1">
        <f t="shared" si="6"/>
        <v>6.34</v>
      </c>
      <c r="P19" s="1">
        <v>2</v>
      </c>
      <c r="Q19" s="1">
        <f t="shared" si="7"/>
        <v>12.68</v>
      </c>
    </row>
    <row r="20" spans="1:17" x14ac:dyDescent="0.25">
      <c r="A20" s="49"/>
      <c r="B20" s="49"/>
      <c r="C20" s="1"/>
      <c r="D20" s="1"/>
      <c r="E20" s="1"/>
      <c r="G20" s="1"/>
      <c r="H20" s="1"/>
      <c r="J20" s="1"/>
      <c r="K20" s="1"/>
      <c r="M20" s="1"/>
      <c r="N20" s="1"/>
      <c r="P20" s="1"/>
      <c r="Q20" s="1"/>
    </row>
    <row r="21" spans="1:17" x14ac:dyDescent="0.25">
      <c r="A21" s="49"/>
      <c r="B21" s="49" t="s">
        <v>181</v>
      </c>
      <c r="C21" s="7" t="s">
        <v>168</v>
      </c>
      <c r="D21" s="1"/>
      <c r="E21" s="1"/>
      <c r="G21" s="1"/>
      <c r="H21" s="1"/>
      <c r="J21" s="1"/>
      <c r="K21" s="1"/>
      <c r="M21" s="1"/>
      <c r="N21" s="1"/>
      <c r="P21" s="1"/>
      <c r="Q21" s="1"/>
    </row>
    <row r="22" spans="1:17" x14ac:dyDescent="0.25">
      <c r="A22" s="49" t="s">
        <v>211</v>
      </c>
      <c r="B22" s="49"/>
      <c r="C22" s="1" t="s">
        <v>8</v>
      </c>
      <c r="D22" s="1" t="s">
        <v>174</v>
      </c>
      <c r="E22" s="1">
        <v>2</v>
      </c>
      <c r="G22" s="1">
        <v>0</v>
      </c>
      <c r="H22" s="1">
        <f t="shared" si="0"/>
        <v>0</v>
      </c>
      <c r="J22" s="1">
        <v>0</v>
      </c>
      <c r="K22" s="1">
        <f t="shared" si="1"/>
        <v>0</v>
      </c>
      <c r="M22" s="1">
        <v>4</v>
      </c>
      <c r="N22" s="1">
        <f t="shared" si="2"/>
        <v>8</v>
      </c>
      <c r="P22" s="1">
        <v>4</v>
      </c>
      <c r="Q22" s="1">
        <f>P22*E22</f>
        <v>8</v>
      </c>
    </row>
    <row r="23" spans="1:17" x14ac:dyDescent="0.25">
      <c r="A23" s="49" t="s">
        <v>212</v>
      </c>
      <c r="B23" s="49"/>
      <c r="C23" s="1" t="s">
        <v>9</v>
      </c>
      <c r="D23" s="1" t="s">
        <v>175</v>
      </c>
      <c r="E23" s="1">
        <v>3</v>
      </c>
      <c r="G23" s="1">
        <v>0</v>
      </c>
      <c r="H23" s="1">
        <f t="shared" si="0"/>
        <v>0</v>
      </c>
      <c r="J23" s="1">
        <v>0</v>
      </c>
      <c r="K23" s="1">
        <f t="shared" si="1"/>
        <v>0</v>
      </c>
      <c r="M23" s="1">
        <v>4</v>
      </c>
      <c r="N23" s="1">
        <f t="shared" si="2"/>
        <v>12</v>
      </c>
      <c r="P23" s="1">
        <v>4</v>
      </c>
      <c r="Q23" s="1">
        <f t="shared" ref="Q23:Q24" si="8">P23*E23</f>
        <v>12</v>
      </c>
    </row>
    <row r="24" spans="1:17" x14ac:dyDescent="0.25">
      <c r="A24" s="49" t="s">
        <v>213</v>
      </c>
      <c r="B24" s="49"/>
      <c r="C24" s="1" t="s">
        <v>10</v>
      </c>
      <c r="D24" s="1" t="s">
        <v>176</v>
      </c>
      <c r="E24" s="1">
        <v>7</v>
      </c>
      <c r="G24" s="1">
        <v>0</v>
      </c>
      <c r="H24" s="1">
        <f t="shared" si="0"/>
        <v>0</v>
      </c>
      <c r="J24" s="1">
        <v>0</v>
      </c>
      <c r="K24" s="1">
        <f t="shared" si="1"/>
        <v>0</v>
      </c>
      <c r="M24" s="1">
        <v>4</v>
      </c>
      <c r="N24" s="1">
        <f t="shared" si="2"/>
        <v>28</v>
      </c>
      <c r="P24" s="1">
        <v>4</v>
      </c>
      <c r="Q24" s="1">
        <f t="shared" si="8"/>
        <v>28</v>
      </c>
    </row>
    <row r="25" spans="1:17" x14ac:dyDescent="0.25">
      <c r="A25" s="49"/>
      <c r="B25" s="49"/>
      <c r="C25" s="1"/>
      <c r="D25" s="1"/>
      <c r="E25" s="1"/>
      <c r="G25" s="1"/>
      <c r="H25" s="1"/>
      <c r="J25" s="1"/>
      <c r="K25" s="1"/>
      <c r="M25" s="1"/>
      <c r="N25" s="1"/>
      <c r="P25" s="1"/>
      <c r="Q25" s="1"/>
    </row>
    <row r="26" spans="1:17" x14ac:dyDescent="0.25">
      <c r="A26" s="49"/>
      <c r="B26" s="49" t="s">
        <v>181</v>
      </c>
      <c r="C26" s="7" t="s">
        <v>167</v>
      </c>
      <c r="D26" s="1"/>
      <c r="E26" s="1"/>
      <c r="G26" s="1"/>
      <c r="H26" s="1"/>
      <c r="J26" s="1"/>
      <c r="K26" s="1"/>
      <c r="M26" s="1"/>
      <c r="N26" s="1"/>
      <c r="P26" s="1"/>
      <c r="Q26" s="1"/>
    </row>
    <row r="27" spans="1:17" x14ac:dyDescent="0.25">
      <c r="A27" s="49" t="s">
        <v>214</v>
      </c>
      <c r="B27" s="49"/>
      <c r="C27" s="1" t="s">
        <v>11</v>
      </c>
      <c r="D27" s="1"/>
      <c r="E27" s="1">
        <v>2</v>
      </c>
      <c r="G27" s="1">
        <v>0</v>
      </c>
      <c r="H27" s="1">
        <f t="shared" si="0"/>
        <v>0</v>
      </c>
      <c r="J27" s="1">
        <v>0</v>
      </c>
      <c r="K27" s="1">
        <f t="shared" si="1"/>
        <v>0</v>
      </c>
      <c r="M27" s="1">
        <v>4</v>
      </c>
      <c r="N27" s="1">
        <f t="shared" si="2"/>
        <v>8</v>
      </c>
      <c r="P27" s="1">
        <v>8</v>
      </c>
      <c r="Q27" s="1">
        <f>P27*E27</f>
        <v>16</v>
      </c>
    </row>
    <row r="28" spans="1:17" x14ac:dyDescent="0.25">
      <c r="A28" s="49" t="s">
        <v>215</v>
      </c>
      <c r="B28" s="49"/>
      <c r="C28" s="1" t="s">
        <v>12</v>
      </c>
      <c r="D28" s="1"/>
      <c r="E28" s="1">
        <v>3</v>
      </c>
      <c r="G28" s="1">
        <v>0</v>
      </c>
      <c r="H28" s="1">
        <f t="shared" si="0"/>
        <v>0</v>
      </c>
      <c r="J28" s="1">
        <v>0</v>
      </c>
      <c r="K28" s="1">
        <f t="shared" si="1"/>
        <v>0</v>
      </c>
      <c r="M28" s="1">
        <v>4</v>
      </c>
      <c r="N28" s="1">
        <f t="shared" si="2"/>
        <v>12</v>
      </c>
      <c r="P28" s="1">
        <v>8</v>
      </c>
      <c r="Q28" s="1">
        <f t="shared" ref="Q28:Q29" si="9">H28*P28</f>
        <v>0</v>
      </c>
    </row>
    <row r="29" spans="1:17" x14ac:dyDescent="0.25">
      <c r="A29" s="49" t="s">
        <v>216</v>
      </c>
      <c r="B29" s="49"/>
      <c r="C29" s="1" t="s">
        <v>13</v>
      </c>
      <c r="D29" s="1"/>
      <c r="E29" s="1">
        <v>7</v>
      </c>
      <c r="G29" s="1">
        <v>0</v>
      </c>
      <c r="H29" s="1">
        <f t="shared" si="0"/>
        <v>0</v>
      </c>
      <c r="J29" s="1">
        <v>0</v>
      </c>
      <c r="K29" s="1">
        <f t="shared" si="1"/>
        <v>0</v>
      </c>
      <c r="M29" s="1">
        <v>4</v>
      </c>
      <c r="N29" s="1">
        <f t="shared" si="2"/>
        <v>28</v>
      </c>
      <c r="P29" s="1">
        <v>8</v>
      </c>
      <c r="Q29" s="1">
        <f t="shared" si="9"/>
        <v>0</v>
      </c>
    </row>
    <row r="30" spans="1:17" x14ac:dyDescent="0.25">
      <c r="A30" s="49"/>
      <c r="B30" s="49"/>
      <c r="C30" s="1"/>
      <c r="D30" s="1"/>
      <c r="E30" s="1"/>
      <c r="G30" s="1"/>
      <c r="H30" s="1"/>
      <c r="J30" s="1"/>
      <c r="K30" s="1"/>
      <c r="M30" s="1"/>
      <c r="N30" s="1"/>
      <c r="P30" s="1"/>
      <c r="Q30" s="1"/>
    </row>
    <row r="31" spans="1:17" x14ac:dyDescent="0.25">
      <c r="A31" s="49"/>
      <c r="B31" s="49"/>
      <c r="C31" s="7" t="s">
        <v>171</v>
      </c>
      <c r="D31" s="1"/>
      <c r="E31" s="1"/>
      <c r="G31" s="1"/>
      <c r="H31" s="1"/>
      <c r="J31" s="1"/>
      <c r="K31" s="1"/>
      <c r="M31" s="1"/>
      <c r="N31" s="1"/>
      <c r="P31" s="1"/>
      <c r="Q31" s="1"/>
    </row>
    <row r="32" spans="1:17" x14ac:dyDescent="0.25">
      <c r="A32" s="49" t="s">
        <v>217</v>
      </c>
      <c r="B32" s="49" t="s">
        <v>745</v>
      </c>
      <c r="C32" s="1" t="s">
        <v>169</v>
      </c>
      <c r="D32" s="1"/>
      <c r="E32" s="1">
        <v>140</v>
      </c>
      <c r="G32" s="1"/>
      <c r="H32" s="1"/>
      <c r="J32" s="1"/>
      <c r="K32" s="1"/>
      <c r="M32" s="1"/>
      <c r="N32" s="1"/>
      <c r="P32" s="1"/>
      <c r="Q32" s="1"/>
    </row>
    <row r="33" spans="1:17" x14ac:dyDescent="0.25">
      <c r="A33" s="49" t="s">
        <v>218</v>
      </c>
      <c r="B33" s="49" t="s">
        <v>746</v>
      </c>
      <c r="C33" s="1"/>
      <c r="D33" s="1" t="s">
        <v>170</v>
      </c>
      <c r="E33" s="1">
        <v>120</v>
      </c>
      <c r="G33" s="1"/>
      <c r="H33" s="1">
        <f t="shared" ref="H33:H34" si="10">E33*G33</f>
        <v>0</v>
      </c>
      <c r="I33" s="4"/>
      <c r="J33" s="1"/>
      <c r="K33" s="1">
        <f t="shared" ref="K33:K34" si="11">E33*J33</f>
        <v>0</v>
      </c>
      <c r="M33" s="1">
        <v>1</v>
      </c>
      <c r="N33" s="1">
        <f t="shared" ref="N33:N36" si="12">E33*M33</f>
        <v>120</v>
      </c>
      <c r="P33" s="1">
        <v>2</v>
      </c>
      <c r="Q33" s="1">
        <f>E33*P33</f>
        <v>240</v>
      </c>
    </row>
    <row r="34" spans="1:17" x14ac:dyDescent="0.25">
      <c r="A34" s="49" t="s">
        <v>219</v>
      </c>
      <c r="B34" s="49" t="s">
        <v>744</v>
      </c>
      <c r="C34" s="1"/>
      <c r="D34" s="1" t="s">
        <v>16</v>
      </c>
      <c r="E34" s="1">
        <v>5</v>
      </c>
      <c r="G34" s="1"/>
      <c r="H34" s="1">
        <f t="shared" si="10"/>
        <v>0</v>
      </c>
      <c r="J34" s="1"/>
      <c r="K34" s="1">
        <f t="shared" si="11"/>
        <v>0</v>
      </c>
      <c r="M34" s="1">
        <v>1</v>
      </c>
      <c r="N34" s="1">
        <f t="shared" si="12"/>
        <v>5</v>
      </c>
      <c r="P34" s="1">
        <v>2</v>
      </c>
      <c r="Q34" s="1">
        <f t="shared" ref="Q34:Q37" si="13">E34*P34</f>
        <v>10</v>
      </c>
    </row>
    <row r="35" spans="1:17" x14ac:dyDescent="0.25">
      <c r="A35" s="49" t="s">
        <v>220</v>
      </c>
      <c r="B35" s="49" t="s">
        <v>741</v>
      </c>
      <c r="C35" s="1"/>
      <c r="D35" s="1" t="s">
        <v>17</v>
      </c>
      <c r="E35" s="1">
        <v>12</v>
      </c>
      <c r="G35" s="1"/>
      <c r="H35" s="1">
        <f t="shared" ref="H35" si="14">E35*G35</f>
        <v>0</v>
      </c>
      <c r="I35" s="4"/>
      <c r="J35" s="1"/>
      <c r="K35" s="1">
        <f t="shared" ref="K35" si="15">E35*J35</f>
        <v>0</v>
      </c>
      <c r="M35" s="1">
        <v>1</v>
      </c>
      <c r="N35" s="1">
        <f t="shared" si="12"/>
        <v>12</v>
      </c>
      <c r="P35" s="1">
        <v>2</v>
      </c>
      <c r="Q35" s="1">
        <f t="shared" si="13"/>
        <v>24</v>
      </c>
    </row>
    <row r="36" spans="1:17" x14ac:dyDescent="0.25">
      <c r="A36" s="49" t="s">
        <v>221</v>
      </c>
      <c r="B36" s="49" t="s">
        <v>113</v>
      </c>
      <c r="C36" s="1" t="s">
        <v>15</v>
      </c>
      <c r="D36" s="1"/>
      <c r="E36" s="1">
        <v>15</v>
      </c>
      <c r="G36" s="1"/>
      <c r="H36" s="1"/>
      <c r="J36" s="1"/>
      <c r="K36" s="1"/>
      <c r="M36" s="1">
        <v>1</v>
      </c>
      <c r="N36" s="1">
        <f t="shared" si="12"/>
        <v>15</v>
      </c>
      <c r="P36" s="1">
        <v>2</v>
      </c>
      <c r="Q36" s="1">
        <f t="shared" si="13"/>
        <v>30</v>
      </c>
    </row>
    <row r="37" spans="1:17" x14ac:dyDescent="0.25">
      <c r="A37" s="49" t="s">
        <v>222</v>
      </c>
      <c r="B37" s="49" t="s">
        <v>102</v>
      </c>
      <c r="C37" s="1" t="s">
        <v>14</v>
      </c>
      <c r="D37" s="1"/>
      <c r="E37" s="1">
        <v>4</v>
      </c>
      <c r="G37" s="1"/>
      <c r="H37" s="1">
        <f t="shared" si="0"/>
        <v>0</v>
      </c>
      <c r="J37" s="1"/>
      <c r="K37" s="1">
        <f t="shared" si="1"/>
        <v>0</v>
      </c>
      <c r="M37" s="1">
        <v>4</v>
      </c>
      <c r="N37" s="1">
        <f t="shared" si="2"/>
        <v>16</v>
      </c>
      <c r="P37" s="1">
        <v>8</v>
      </c>
      <c r="Q37" s="1">
        <f t="shared" si="13"/>
        <v>32</v>
      </c>
    </row>
    <row r="38" spans="1:17" x14ac:dyDescent="0.25">
      <c r="A38" s="49"/>
      <c r="B38" s="49"/>
      <c r="C38" s="1"/>
      <c r="D38" s="1"/>
      <c r="E38" s="1"/>
      <c r="G38" s="1"/>
      <c r="H38" s="1"/>
      <c r="I38" s="4"/>
      <c r="J38" s="1"/>
      <c r="K38" s="1"/>
      <c r="M38" s="1"/>
      <c r="N38" s="1"/>
      <c r="P38" s="1"/>
      <c r="Q38" s="1"/>
    </row>
    <row r="39" spans="1:17" x14ac:dyDescent="0.25">
      <c r="A39" s="49"/>
      <c r="B39" s="49"/>
      <c r="C39" s="7" t="s">
        <v>151</v>
      </c>
      <c r="D39" s="1"/>
      <c r="E39" s="1"/>
      <c r="G39" s="1"/>
      <c r="H39" s="1"/>
      <c r="I39" s="4"/>
      <c r="J39" s="1"/>
      <c r="K39" s="1"/>
      <c r="M39" s="1"/>
      <c r="N39" s="1"/>
      <c r="P39" s="1"/>
      <c r="Q39" s="1"/>
    </row>
    <row r="40" spans="1:17" x14ac:dyDescent="0.25">
      <c r="A40" s="49" t="s">
        <v>310</v>
      </c>
      <c r="B40" s="49"/>
      <c r="C40" s="1" t="s">
        <v>172</v>
      </c>
      <c r="D40" s="1"/>
      <c r="E40" s="1">
        <v>20</v>
      </c>
      <c r="G40" s="1"/>
      <c r="H40" s="1"/>
      <c r="I40" s="4"/>
      <c r="J40" s="1"/>
      <c r="K40" s="1"/>
      <c r="M40" s="1">
        <v>1</v>
      </c>
      <c r="N40" s="1">
        <f t="shared" si="2"/>
        <v>20</v>
      </c>
      <c r="P40" s="1">
        <v>1</v>
      </c>
      <c r="Q40" s="1">
        <f t="shared" ref="Q40:Q41" si="16">H40*P40</f>
        <v>0</v>
      </c>
    </row>
    <row r="41" spans="1:17" x14ac:dyDescent="0.25">
      <c r="A41" s="49" t="s">
        <v>311</v>
      </c>
      <c r="B41" s="49"/>
      <c r="C41" s="1" t="s">
        <v>173</v>
      </c>
      <c r="D41" s="1"/>
      <c r="E41" s="1">
        <f>E32*0.1</f>
        <v>14</v>
      </c>
      <c r="G41" s="1"/>
      <c r="H41" s="1"/>
      <c r="I41" s="4"/>
      <c r="J41" s="1"/>
      <c r="K41" s="1"/>
      <c r="M41" s="1">
        <v>1</v>
      </c>
      <c r="N41" s="1">
        <f t="shared" si="2"/>
        <v>14</v>
      </c>
      <c r="P41" s="1">
        <v>1</v>
      </c>
      <c r="Q41" s="1">
        <f t="shared" si="16"/>
        <v>0</v>
      </c>
    </row>
    <row r="42" spans="1:17" x14ac:dyDescent="0.25">
      <c r="A42" s="49"/>
      <c r="B42" s="49"/>
      <c r="C42" s="1"/>
      <c r="D42" s="1"/>
      <c r="E42" s="1"/>
      <c r="G42" s="1"/>
      <c r="H42" s="1"/>
      <c r="I42" s="4"/>
      <c r="J42" s="1"/>
      <c r="K42" s="1"/>
      <c r="M42" s="1"/>
      <c r="N42" s="1"/>
      <c r="P42" s="1"/>
      <c r="Q42" s="1"/>
    </row>
    <row r="43" spans="1:17" x14ac:dyDescent="0.25">
      <c r="A43" s="49"/>
      <c r="B43" s="49"/>
      <c r="C43" s="3" t="s">
        <v>18</v>
      </c>
      <c r="D43" s="3"/>
      <c r="E43" s="3"/>
      <c r="F43" s="5"/>
      <c r="G43" s="3"/>
      <c r="H43" s="3">
        <f>SUM(H6:H37)</f>
        <v>185.04</v>
      </c>
      <c r="I43" s="6"/>
      <c r="J43" s="3"/>
      <c r="K43" s="3">
        <f>SUM(K6:K37)</f>
        <v>355.53999999999996</v>
      </c>
      <c r="L43" s="5"/>
      <c r="M43" s="3"/>
      <c r="N43" s="7">
        <f>SUM(N6:N42)</f>
        <v>653.54</v>
      </c>
      <c r="P43" s="3"/>
      <c r="Q43" s="7">
        <f>SUM(Q6:Q42)</f>
        <v>1111.08</v>
      </c>
    </row>
    <row r="44" spans="1:17" x14ac:dyDescent="0.25">
      <c r="A44" s="9"/>
      <c r="B44" s="9"/>
      <c r="C44" s="1"/>
      <c r="D44" s="1"/>
      <c r="E44" s="1"/>
      <c r="G44" s="9"/>
      <c r="H44" s="9"/>
      <c r="I44" s="8"/>
      <c r="J44" s="9"/>
      <c r="K44" s="9"/>
      <c r="L44" s="8"/>
      <c r="M44" s="9"/>
      <c r="N44" s="1"/>
      <c r="P44" s="9"/>
      <c r="Q44" s="1"/>
    </row>
    <row r="48" spans="1:17" x14ac:dyDescent="0.25">
      <c r="A48" s="14" t="s">
        <v>739</v>
      </c>
      <c r="B48" s="14"/>
      <c r="C48" s="14" t="s">
        <v>181</v>
      </c>
      <c r="E48" s="10"/>
    </row>
    <row r="49" spans="1:5" x14ac:dyDescent="0.25">
      <c r="A49" s="14" t="s">
        <v>740</v>
      </c>
      <c r="B49" s="14"/>
      <c r="C49" s="14" t="s">
        <v>182</v>
      </c>
      <c r="E49" s="10"/>
    </row>
    <row r="50" spans="1:5" x14ac:dyDescent="0.25">
      <c r="A50" s="27" t="s">
        <v>217</v>
      </c>
      <c r="B50" s="27"/>
      <c r="C50" t="s">
        <v>741</v>
      </c>
      <c r="E50" s="10"/>
    </row>
  </sheetData>
  <mergeCells count="4">
    <mergeCell ref="G4:H4"/>
    <mergeCell ref="J4:K4"/>
    <mergeCell ref="M4:N4"/>
    <mergeCell ref="P4:Q4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E588-292F-40F3-9171-46D650B9CD10}">
  <dimension ref="A1:R45"/>
  <sheetViews>
    <sheetView workbookViewId="0">
      <selection activeCell="C9" sqref="C9"/>
    </sheetView>
  </sheetViews>
  <sheetFormatPr defaultRowHeight="15" x14ac:dyDescent="0.25"/>
  <cols>
    <col min="1" max="1" width="20.85546875" customWidth="1"/>
    <col min="2" max="2" width="15.7109375" customWidth="1"/>
    <col min="3" max="3" width="27.140625" customWidth="1"/>
    <col min="4" max="4" width="21.85546875" customWidth="1"/>
  </cols>
  <sheetData>
    <row r="1" spans="1:18" x14ac:dyDescent="0.25">
      <c r="A1" s="14" t="s">
        <v>198</v>
      </c>
      <c r="B1" s="14"/>
      <c r="C1" s="14" t="s">
        <v>196</v>
      </c>
    </row>
    <row r="2" spans="1:18" x14ac:dyDescent="0.25">
      <c r="A2" s="14" t="s">
        <v>195</v>
      </c>
      <c r="B2" s="14"/>
      <c r="C2" s="14" t="s">
        <v>208</v>
      </c>
    </row>
    <row r="3" spans="1:18" ht="15.75" thickBot="1" x14ac:dyDescent="0.3">
      <c r="A3" s="14"/>
      <c r="B3" s="14"/>
      <c r="C3" s="14"/>
    </row>
    <row r="4" spans="1:18" ht="15.75" thickBot="1" x14ac:dyDescent="0.3">
      <c r="A4" s="47" t="s">
        <v>207</v>
      </c>
      <c r="B4" s="14"/>
      <c r="C4" s="14"/>
      <c r="D4" s="14"/>
      <c r="E4" s="29"/>
      <c r="F4" s="14"/>
      <c r="G4" s="58" t="s">
        <v>0</v>
      </c>
      <c r="H4" s="59"/>
      <c r="I4" s="14"/>
      <c r="J4" s="58" t="s">
        <v>1</v>
      </c>
      <c r="K4" s="59"/>
      <c r="L4" s="14"/>
      <c r="M4" s="58" t="s">
        <v>289</v>
      </c>
      <c r="N4" s="59"/>
      <c r="P4" s="58" t="s">
        <v>290</v>
      </c>
      <c r="Q4" s="59"/>
    </row>
    <row r="5" spans="1:18" x14ac:dyDescent="0.25">
      <c r="A5" s="50" t="s">
        <v>331</v>
      </c>
      <c r="B5" s="51" t="s">
        <v>527</v>
      </c>
      <c r="C5" s="53" t="s">
        <v>177</v>
      </c>
      <c r="D5" s="51" t="s">
        <v>153</v>
      </c>
      <c r="E5" s="51" t="s">
        <v>3</v>
      </c>
      <c r="F5" s="52"/>
      <c r="G5" s="50" t="s">
        <v>4</v>
      </c>
      <c r="H5" s="50" t="s">
        <v>5</v>
      </c>
      <c r="I5" s="52"/>
      <c r="J5" s="50" t="s">
        <v>4</v>
      </c>
      <c r="K5" s="50" t="s">
        <v>5</v>
      </c>
      <c r="L5" s="52"/>
      <c r="M5" s="50" t="s">
        <v>4</v>
      </c>
      <c r="N5" s="50" t="s">
        <v>5</v>
      </c>
      <c r="O5" s="52"/>
      <c r="P5" s="50" t="s">
        <v>4</v>
      </c>
      <c r="Q5" s="50" t="s">
        <v>5</v>
      </c>
    </row>
    <row r="6" spans="1:18" x14ac:dyDescent="0.25">
      <c r="A6" s="49" t="s">
        <v>231</v>
      </c>
      <c r="B6" s="49" t="s">
        <v>181</v>
      </c>
      <c r="C6" s="46" t="s">
        <v>152</v>
      </c>
      <c r="D6" s="1" t="s">
        <v>154</v>
      </c>
      <c r="E6" s="1">
        <v>1</v>
      </c>
      <c r="G6" s="1">
        <v>50</v>
      </c>
      <c r="H6" s="1">
        <f>E6*G6</f>
        <v>50</v>
      </c>
      <c r="J6" s="1">
        <v>100</v>
      </c>
      <c r="K6" s="1">
        <f>E6*J6</f>
        <v>100</v>
      </c>
      <c r="M6" s="1">
        <v>100</v>
      </c>
      <c r="N6" s="1">
        <f>E6*M6</f>
        <v>100</v>
      </c>
      <c r="P6" s="1">
        <v>200</v>
      </c>
      <c r="Q6" s="1">
        <f>P6*E6</f>
        <v>200</v>
      </c>
    </row>
    <row r="7" spans="1:18" x14ac:dyDescent="0.25">
      <c r="A7" s="49"/>
      <c r="B7" s="49"/>
      <c r="C7" s="46"/>
      <c r="D7" s="1"/>
      <c r="E7" s="1"/>
      <c r="G7" s="1"/>
      <c r="H7" s="1"/>
      <c r="J7" s="1"/>
      <c r="K7" s="1"/>
      <c r="M7" s="1"/>
      <c r="N7" s="1"/>
      <c r="P7" s="1"/>
      <c r="Q7" s="1"/>
    </row>
    <row r="8" spans="1:18" x14ac:dyDescent="0.25">
      <c r="A8" s="49"/>
      <c r="B8" s="1" t="s">
        <v>181</v>
      </c>
      <c r="C8" s="46" t="s">
        <v>247</v>
      </c>
      <c r="D8" s="1"/>
      <c r="E8" s="1"/>
      <c r="G8" s="1"/>
      <c r="H8" s="1"/>
      <c r="J8" s="1"/>
      <c r="K8" s="1"/>
      <c r="M8" s="1"/>
      <c r="N8" s="1"/>
      <c r="P8" s="1"/>
      <c r="Q8" s="1"/>
    </row>
    <row r="9" spans="1:18" x14ac:dyDescent="0.25">
      <c r="A9" s="49" t="s">
        <v>232</v>
      </c>
      <c r="B9" s="31"/>
      <c r="C9" s="45" t="s">
        <v>178</v>
      </c>
      <c r="D9" s="1" t="s">
        <v>156</v>
      </c>
      <c r="E9" s="1">
        <v>32</v>
      </c>
      <c r="G9" s="1">
        <v>1</v>
      </c>
      <c r="H9" s="1">
        <f t="shared" ref="H9:H22" si="0">E9*G9</f>
        <v>32</v>
      </c>
      <c r="J9" s="1">
        <v>2</v>
      </c>
      <c r="K9" s="1">
        <f t="shared" ref="K9:K22" si="1">E9*J9</f>
        <v>64</v>
      </c>
      <c r="M9" s="1">
        <v>2</v>
      </c>
      <c r="N9" s="1">
        <f t="shared" ref="N9:N22" si="2">E9*M9</f>
        <v>64</v>
      </c>
      <c r="P9" s="1">
        <v>4</v>
      </c>
      <c r="Q9" s="1">
        <f t="shared" ref="Q9:Q11" si="3">H9*P9</f>
        <v>128</v>
      </c>
      <c r="R9" t="s">
        <v>293</v>
      </c>
    </row>
    <row r="10" spans="1:18" x14ac:dyDescent="0.25">
      <c r="A10" s="49" t="s">
        <v>233</v>
      </c>
      <c r="B10" s="31"/>
      <c r="C10" s="45" t="s">
        <v>179</v>
      </c>
      <c r="D10" s="1" t="s">
        <v>156</v>
      </c>
      <c r="E10" s="1">
        <v>26</v>
      </c>
      <c r="G10" s="1">
        <v>3</v>
      </c>
      <c r="H10" s="1">
        <f t="shared" si="0"/>
        <v>78</v>
      </c>
      <c r="J10" s="1">
        <v>6</v>
      </c>
      <c r="K10" s="1">
        <f t="shared" si="1"/>
        <v>156</v>
      </c>
      <c r="M10" s="1">
        <v>6</v>
      </c>
      <c r="N10" s="1">
        <f t="shared" si="2"/>
        <v>156</v>
      </c>
      <c r="P10" s="1">
        <v>12</v>
      </c>
      <c r="Q10" s="1">
        <f t="shared" si="3"/>
        <v>936</v>
      </c>
    </row>
    <row r="11" spans="1:18" x14ac:dyDescent="0.25">
      <c r="A11" s="49" t="s">
        <v>234</v>
      </c>
      <c r="B11" s="31"/>
      <c r="C11" s="45" t="s">
        <v>180</v>
      </c>
      <c r="D11" s="1" t="s">
        <v>156</v>
      </c>
      <c r="E11" s="1">
        <v>28</v>
      </c>
      <c r="G11" s="1">
        <v>1</v>
      </c>
      <c r="H11" s="1">
        <f t="shared" si="0"/>
        <v>28</v>
      </c>
      <c r="J11" s="1">
        <v>1</v>
      </c>
      <c r="K11" s="1">
        <f t="shared" si="1"/>
        <v>28</v>
      </c>
      <c r="M11" s="1">
        <v>2</v>
      </c>
      <c r="N11" s="1">
        <f t="shared" si="2"/>
        <v>56</v>
      </c>
      <c r="P11" s="1">
        <v>4</v>
      </c>
      <c r="Q11" s="1">
        <f t="shared" si="3"/>
        <v>112</v>
      </c>
    </row>
    <row r="12" spans="1:18" x14ac:dyDescent="0.25">
      <c r="A12" s="49"/>
      <c r="B12" s="1"/>
      <c r="C12" s="45"/>
      <c r="D12" s="1"/>
      <c r="E12" s="1"/>
      <c r="G12" s="1"/>
      <c r="H12" s="1"/>
      <c r="J12" s="1"/>
      <c r="K12" s="1"/>
      <c r="M12" s="1"/>
      <c r="N12" s="1"/>
      <c r="P12" s="1"/>
      <c r="Q12" s="1"/>
    </row>
    <row r="13" spans="1:18" x14ac:dyDescent="0.25">
      <c r="A13" s="49"/>
      <c r="B13" s="1" t="s">
        <v>181</v>
      </c>
      <c r="C13" s="46" t="s">
        <v>185</v>
      </c>
      <c r="D13" s="1"/>
      <c r="E13" s="1"/>
      <c r="G13" s="1"/>
      <c r="H13" s="1"/>
      <c r="J13" s="1"/>
      <c r="K13" s="1"/>
      <c r="M13" s="1"/>
      <c r="N13" s="1"/>
      <c r="P13" s="1"/>
      <c r="Q13" s="1"/>
    </row>
    <row r="14" spans="1:18" x14ac:dyDescent="0.25">
      <c r="A14" s="49"/>
      <c r="B14" s="1"/>
      <c r="C14" s="48"/>
      <c r="D14" s="1"/>
      <c r="E14" s="1"/>
      <c r="G14" s="1"/>
      <c r="H14" s="1"/>
      <c r="J14" s="1"/>
      <c r="K14" s="1"/>
      <c r="M14" s="1"/>
      <c r="N14" s="1"/>
      <c r="P14" s="1"/>
      <c r="Q14" s="1"/>
    </row>
    <row r="15" spans="1:18" x14ac:dyDescent="0.25">
      <c r="A15" s="49" t="s">
        <v>235</v>
      </c>
      <c r="B15" s="31"/>
      <c r="C15" s="45" t="s">
        <v>749</v>
      </c>
      <c r="D15" s="45" t="s">
        <v>748</v>
      </c>
      <c r="E15" s="1">
        <v>2</v>
      </c>
      <c r="G15" s="1">
        <v>0</v>
      </c>
      <c r="H15" s="1">
        <f t="shared" si="0"/>
        <v>0</v>
      </c>
      <c r="J15" s="1"/>
      <c r="K15" s="1">
        <f t="shared" si="1"/>
        <v>0</v>
      </c>
      <c r="M15" s="1">
        <v>4</v>
      </c>
      <c r="N15" s="1">
        <f t="shared" si="2"/>
        <v>8</v>
      </c>
      <c r="P15" s="1">
        <v>4</v>
      </c>
      <c r="Q15" s="1">
        <f>P15*E15</f>
        <v>8</v>
      </c>
    </row>
    <row r="16" spans="1:18" x14ac:dyDescent="0.25">
      <c r="A16" s="49" t="s">
        <v>236</v>
      </c>
      <c r="B16" s="31"/>
      <c r="C16" s="45" t="s">
        <v>749</v>
      </c>
      <c r="D16" s="45" t="s">
        <v>747</v>
      </c>
      <c r="E16" s="1">
        <v>3</v>
      </c>
      <c r="G16" s="1">
        <v>0</v>
      </c>
      <c r="H16" s="1">
        <f t="shared" si="0"/>
        <v>0</v>
      </c>
      <c r="J16" s="1"/>
      <c r="K16" s="1">
        <f t="shared" si="1"/>
        <v>0</v>
      </c>
      <c r="M16" s="1">
        <v>4</v>
      </c>
      <c r="N16" s="1">
        <f t="shared" si="2"/>
        <v>12</v>
      </c>
      <c r="P16" s="1">
        <v>4</v>
      </c>
      <c r="Q16" s="1">
        <f t="shared" ref="Q16:Q22" si="4">P16*E16</f>
        <v>12</v>
      </c>
    </row>
    <row r="17" spans="1:17" x14ac:dyDescent="0.25">
      <c r="A17" s="49" t="s">
        <v>237</v>
      </c>
      <c r="B17" s="31"/>
      <c r="C17" s="45" t="s">
        <v>749</v>
      </c>
      <c r="D17" s="45" t="s">
        <v>10</v>
      </c>
      <c r="E17" s="1">
        <v>7</v>
      </c>
      <c r="G17" s="1">
        <v>0</v>
      </c>
      <c r="H17" s="1">
        <f t="shared" si="0"/>
        <v>0</v>
      </c>
      <c r="J17" s="1"/>
      <c r="K17" s="1">
        <f t="shared" si="1"/>
        <v>0</v>
      </c>
      <c r="M17" s="1">
        <v>4</v>
      </c>
      <c r="N17" s="1">
        <f t="shared" si="2"/>
        <v>28</v>
      </c>
      <c r="P17" s="1">
        <v>4</v>
      </c>
      <c r="Q17" s="1">
        <f t="shared" si="4"/>
        <v>28</v>
      </c>
    </row>
    <row r="18" spans="1:17" x14ac:dyDescent="0.25">
      <c r="A18" s="49"/>
      <c r="B18" s="31"/>
      <c r="C18" s="45"/>
      <c r="D18" s="1"/>
      <c r="E18" s="1"/>
      <c r="G18" s="1"/>
      <c r="H18" s="1"/>
      <c r="J18" s="1"/>
      <c r="K18" s="1"/>
      <c r="M18" s="1"/>
      <c r="N18" s="1"/>
      <c r="P18" s="1"/>
      <c r="Q18" s="1"/>
    </row>
    <row r="19" spans="1:17" x14ac:dyDescent="0.25">
      <c r="A19" s="49"/>
      <c r="B19" s="49" t="s">
        <v>181</v>
      </c>
      <c r="C19" s="46" t="s">
        <v>186</v>
      </c>
      <c r="D19" s="1"/>
      <c r="E19" s="1"/>
      <c r="G19" s="1"/>
      <c r="H19" s="1"/>
      <c r="J19" s="1"/>
      <c r="K19" s="1"/>
      <c r="M19" s="1"/>
      <c r="N19" s="1"/>
      <c r="P19" s="1"/>
      <c r="Q19" s="1"/>
    </row>
    <row r="20" spans="1:17" x14ac:dyDescent="0.25">
      <c r="A20" s="49" t="s">
        <v>238</v>
      </c>
      <c r="B20" s="31"/>
      <c r="C20" s="45" t="s">
        <v>750</v>
      </c>
      <c r="D20" s="45" t="s">
        <v>11</v>
      </c>
      <c r="E20" s="1">
        <v>2</v>
      </c>
      <c r="G20" s="1">
        <v>0</v>
      </c>
      <c r="H20" s="1">
        <f t="shared" si="0"/>
        <v>0</v>
      </c>
      <c r="J20" s="1"/>
      <c r="K20" s="1">
        <f t="shared" si="1"/>
        <v>0</v>
      </c>
      <c r="M20" s="1">
        <v>4</v>
      </c>
      <c r="N20" s="1">
        <f t="shared" si="2"/>
        <v>8</v>
      </c>
      <c r="P20" s="1">
        <v>4</v>
      </c>
      <c r="Q20" s="1">
        <f t="shared" si="4"/>
        <v>8</v>
      </c>
    </row>
    <row r="21" spans="1:17" x14ac:dyDescent="0.25">
      <c r="A21" s="49" t="s">
        <v>239</v>
      </c>
      <c r="B21" s="31"/>
      <c r="C21" s="45" t="s">
        <v>750</v>
      </c>
      <c r="D21" s="45" t="s">
        <v>12</v>
      </c>
      <c r="E21" s="1">
        <v>3</v>
      </c>
      <c r="G21" s="1">
        <v>0</v>
      </c>
      <c r="H21" s="1">
        <f t="shared" si="0"/>
        <v>0</v>
      </c>
      <c r="J21" s="1"/>
      <c r="K21" s="1">
        <f t="shared" si="1"/>
        <v>0</v>
      </c>
      <c r="M21" s="1">
        <v>4</v>
      </c>
      <c r="N21" s="1">
        <f t="shared" si="2"/>
        <v>12</v>
      </c>
      <c r="P21" s="1">
        <v>4</v>
      </c>
      <c r="Q21" s="1">
        <f t="shared" si="4"/>
        <v>12</v>
      </c>
    </row>
    <row r="22" spans="1:17" x14ac:dyDescent="0.25">
      <c r="A22" s="49" t="s">
        <v>240</v>
      </c>
      <c r="B22" s="31"/>
      <c r="C22" s="45" t="s">
        <v>750</v>
      </c>
      <c r="D22" s="45" t="s">
        <v>13</v>
      </c>
      <c r="E22" s="1">
        <v>7</v>
      </c>
      <c r="G22" s="1">
        <v>0</v>
      </c>
      <c r="H22" s="1">
        <f t="shared" si="0"/>
        <v>0</v>
      </c>
      <c r="J22" s="1"/>
      <c r="K22" s="1">
        <f t="shared" si="1"/>
        <v>0</v>
      </c>
      <c r="M22" s="1">
        <v>4</v>
      </c>
      <c r="N22" s="1">
        <f t="shared" si="2"/>
        <v>28</v>
      </c>
      <c r="P22" s="1">
        <v>4</v>
      </c>
      <c r="Q22" s="1">
        <f t="shared" si="4"/>
        <v>28</v>
      </c>
    </row>
    <row r="23" spans="1:17" x14ac:dyDescent="0.25">
      <c r="A23" s="49"/>
      <c r="B23" s="31"/>
      <c r="C23" s="45"/>
      <c r="D23" s="1"/>
      <c r="E23" s="1"/>
      <c r="G23" s="1"/>
      <c r="H23" s="1"/>
      <c r="J23" s="1"/>
      <c r="K23" s="1"/>
      <c r="M23" s="1"/>
      <c r="N23" s="1"/>
      <c r="P23" s="1"/>
      <c r="Q23" s="1"/>
    </row>
    <row r="24" spans="1:17" x14ac:dyDescent="0.25">
      <c r="A24" s="49"/>
      <c r="B24" s="31"/>
      <c r="C24" s="45"/>
      <c r="D24" s="1"/>
      <c r="E24" s="1"/>
      <c r="G24" s="1"/>
      <c r="H24" s="1"/>
      <c r="J24" s="1"/>
      <c r="K24" s="1"/>
      <c r="M24" s="1"/>
      <c r="N24" s="1"/>
      <c r="P24" s="1"/>
      <c r="Q24" s="1"/>
    </row>
    <row r="25" spans="1:17" x14ac:dyDescent="0.25">
      <c r="A25" s="49"/>
      <c r="B25" s="31"/>
      <c r="C25" s="46" t="s">
        <v>171</v>
      </c>
      <c r="D25" s="1"/>
      <c r="E25" s="1"/>
      <c r="G25" s="1"/>
      <c r="H25" s="1"/>
      <c r="J25" s="1"/>
      <c r="K25" s="1"/>
      <c r="M25" s="1"/>
      <c r="N25" s="1"/>
      <c r="P25" s="1"/>
      <c r="Q25" s="1"/>
    </row>
    <row r="26" spans="1:17" x14ac:dyDescent="0.25">
      <c r="A26" s="49" t="s">
        <v>241</v>
      </c>
      <c r="B26" s="31" t="s">
        <v>745</v>
      </c>
      <c r="C26" s="45"/>
      <c r="D26" s="1" t="s">
        <v>170</v>
      </c>
      <c r="E26" s="1">
        <v>120</v>
      </c>
      <c r="G26" s="1"/>
      <c r="H26" s="1">
        <f t="shared" ref="H26:H28" si="5">E26*G26</f>
        <v>0</v>
      </c>
      <c r="I26" s="4"/>
      <c r="J26" s="1"/>
      <c r="K26" s="1">
        <f t="shared" ref="K26:K28" si="6">E26*J26</f>
        <v>0</v>
      </c>
      <c r="M26" s="1">
        <v>1</v>
      </c>
      <c r="N26" s="1">
        <f t="shared" ref="N26:N34" si="7">E26*M26</f>
        <v>120</v>
      </c>
      <c r="P26" s="1">
        <v>2</v>
      </c>
      <c r="Q26" s="1">
        <f>E26*P26</f>
        <v>240</v>
      </c>
    </row>
    <row r="27" spans="1:17" x14ac:dyDescent="0.25">
      <c r="A27" s="49" t="s">
        <v>242</v>
      </c>
      <c r="B27" s="31" t="s">
        <v>746</v>
      </c>
      <c r="C27" s="45"/>
      <c r="D27" s="1" t="s">
        <v>16</v>
      </c>
      <c r="E27" s="1">
        <v>5</v>
      </c>
      <c r="G27" s="1"/>
      <c r="H27" s="1">
        <f t="shared" si="5"/>
        <v>0</v>
      </c>
      <c r="J27" s="1"/>
      <c r="K27" s="1">
        <f t="shared" si="6"/>
        <v>0</v>
      </c>
      <c r="M27" s="1">
        <v>1</v>
      </c>
      <c r="N27" s="1">
        <f t="shared" si="7"/>
        <v>5</v>
      </c>
      <c r="P27" s="1">
        <v>2</v>
      </c>
      <c r="Q27" s="1">
        <f t="shared" ref="Q27:Q35" si="8">E27*P27</f>
        <v>10</v>
      </c>
    </row>
    <row r="28" spans="1:17" x14ac:dyDescent="0.25">
      <c r="A28" s="49" t="s">
        <v>243</v>
      </c>
      <c r="B28" s="31" t="s">
        <v>744</v>
      </c>
      <c r="C28" s="45"/>
      <c r="D28" s="1" t="s">
        <v>17</v>
      </c>
      <c r="E28" s="1">
        <v>12</v>
      </c>
      <c r="G28" s="1"/>
      <c r="H28" s="1">
        <f t="shared" si="5"/>
        <v>0</v>
      </c>
      <c r="I28" s="4"/>
      <c r="J28" s="1"/>
      <c r="K28" s="1">
        <f t="shared" si="6"/>
        <v>0</v>
      </c>
      <c r="M28" s="1">
        <v>1</v>
      </c>
      <c r="N28" s="1">
        <f t="shared" si="7"/>
        <v>12</v>
      </c>
      <c r="P28" s="1">
        <v>2</v>
      </c>
      <c r="Q28" s="1">
        <f t="shared" si="8"/>
        <v>24</v>
      </c>
    </row>
    <row r="29" spans="1:17" x14ac:dyDescent="0.25">
      <c r="A29" s="49" t="s">
        <v>244</v>
      </c>
      <c r="B29" s="31" t="s">
        <v>741</v>
      </c>
      <c r="C29" s="45" t="s">
        <v>15</v>
      </c>
      <c r="D29" s="1"/>
      <c r="E29" s="1">
        <v>15</v>
      </c>
      <c r="G29" s="1"/>
      <c r="H29" s="1">
        <v>0</v>
      </c>
      <c r="J29" s="1"/>
      <c r="K29" s="1">
        <v>0</v>
      </c>
      <c r="M29" s="1">
        <v>1</v>
      </c>
      <c r="N29" s="1">
        <f t="shared" si="7"/>
        <v>15</v>
      </c>
      <c r="P29" s="1">
        <v>2</v>
      </c>
      <c r="Q29" s="1">
        <f t="shared" si="8"/>
        <v>30</v>
      </c>
    </row>
    <row r="30" spans="1:17" x14ac:dyDescent="0.25">
      <c r="A30" s="49" t="s">
        <v>245</v>
      </c>
      <c r="B30" s="31" t="s">
        <v>741</v>
      </c>
      <c r="C30" s="45" t="s">
        <v>14</v>
      </c>
      <c r="D30" s="1"/>
      <c r="E30" s="1">
        <v>4</v>
      </c>
      <c r="G30" s="1"/>
      <c r="H30" s="1">
        <f t="shared" ref="H30" si="9">E30*G30</f>
        <v>0</v>
      </c>
      <c r="J30" s="1"/>
      <c r="K30" s="1">
        <f t="shared" ref="K30" si="10">E30*J30</f>
        <v>0</v>
      </c>
      <c r="M30" s="1">
        <v>1</v>
      </c>
      <c r="N30" s="1">
        <f t="shared" si="7"/>
        <v>4</v>
      </c>
      <c r="P30" s="1">
        <v>2</v>
      </c>
      <c r="Q30" s="1">
        <f t="shared" si="8"/>
        <v>8</v>
      </c>
    </row>
    <row r="31" spans="1:17" x14ac:dyDescent="0.25">
      <c r="A31" s="49" t="s">
        <v>246</v>
      </c>
      <c r="B31" s="31"/>
      <c r="C31" s="45" t="s">
        <v>169</v>
      </c>
      <c r="D31" s="1" t="s">
        <v>427</v>
      </c>
      <c r="E31" s="1">
        <v>140</v>
      </c>
      <c r="G31" s="1"/>
      <c r="H31" s="1"/>
      <c r="I31" s="4"/>
      <c r="J31" s="1"/>
      <c r="K31" s="1"/>
      <c r="M31" s="1"/>
      <c r="N31" s="1"/>
      <c r="P31" s="1"/>
      <c r="Q31" s="1"/>
    </row>
    <row r="32" spans="1:17" x14ac:dyDescent="0.25">
      <c r="A32" s="49"/>
      <c r="B32" s="31"/>
      <c r="C32" s="45"/>
      <c r="D32" s="1"/>
      <c r="E32" s="1"/>
      <c r="G32" s="1"/>
      <c r="H32" s="1"/>
      <c r="I32" s="4"/>
      <c r="J32" s="1"/>
      <c r="K32" s="1"/>
      <c r="M32" s="1"/>
      <c r="N32" s="1"/>
      <c r="P32" s="1"/>
      <c r="Q32" s="1"/>
    </row>
    <row r="33" spans="1:17" x14ac:dyDescent="0.25">
      <c r="A33" s="49"/>
      <c r="B33" s="31"/>
      <c r="C33" s="46" t="s">
        <v>151</v>
      </c>
      <c r="D33" s="1"/>
      <c r="E33" s="1"/>
      <c r="G33" s="1"/>
      <c r="H33" s="1"/>
      <c r="I33" s="4"/>
      <c r="J33" s="1"/>
      <c r="K33" s="1"/>
      <c r="M33" s="1"/>
      <c r="N33" s="1"/>
      <c r="P33" s="1"/>
      <c r="Q33" s="1"/>
    </row>
    <row r="34" spans="1:17" x14ac:dyDescent="0.25">
      <c r="A34" s="49" t="s">
        <v>312</v>
      </c>
      <c r="B34" s="31"/>
      <c r="C34" s="45" t="s">
        <v>172</v>
      </c>
      <c r="D34" s="1"/>
      <c r="E34" s="1">
        <v>20</v>
      </c>
      <c r="G34" s="1"/>
      <c r="H34" s="1"/>
      <c r="I34" s="4"/>
      <c r="J34" s="1"/>
      <c r="K34" s="1"/>
      <c r="M34" s="1">
        <v>1</v>
      </c>
      <c r="N34" s="1">
        <f t="shared" si="7"/>
        <v>20</v>
      </c>
      <c r="P34" s="1">
        <v>0</v>
      </c>
      <c r="Q34" s="1">
        <f t="shared" si="8"/>
        <v>0</v>
      </c>
    </row>
    <row r="35" spans="1:17" x14ac:dyDescent="0.25">
      <c r="A35" s="49" t="s">
        <v>313</v>
      </c>
      <c r="B35" s="31"/>
      <c r="C35" s="45" t="s">
        <v>173</v>
      </c>
      <c r="D35" s="1"/>
      <c r="E35" s="1">
        <f>E31*0.1</f>
        <v>14</v>
      </c>
      <c r="G35" s="1"/>
      <c r="H35" s="1"/>
      <c r="I35" s="4"/>
      <c r="J35" s="1"/>
      <c r="K35" s="1"/>
      <c r="M35" s="1">
        <v>1</v>
      </c>
      <c r="N35" s="1">
        <f>E35*M35</f>
        <v>14</v>
      </c>
      <c r="P35" s="1">
        <v>0</v>
      </c>
      <c r="Q35" s="1">
        <f t="shared" si="8"/>
        <v>0</v>
      </c>
    </row>
    <row r="36" spans="1:17" x14ac:dyDescent="0.25">
      <c r="A36" s="49"/>
      <c r="B36" s="31"/>
      <c r="C36" s="45"/>
      <c r="D36" s="1"/>
      <c r="E36" s="1"/>
      <c r="G36" s="1"/>
      <c r="H36" s="1"/>
      <c r="J36" s="1"/>
      <c r="K36" s="1"/>
      <c r="M36" s="1"/>
      <c r="N36" s="1"/>
      <c r="P36" s="1"/>
      <c r="Q36" s="1"/>
    </row>
    <row r="37" spans="1:17" x14ac:dyDescent="0.25">
      <c r="A37" s="49"/>
      <c r="B37" s="31"/>
      <c r="C37" s="45"/>
      <c r="D37" s="1"/>
      <c r="E37" s="1"/>
      <c r="G37" s="1"/>
      <c r="H37" s="1"/>
      <c r="J37" s="1"/>
      <c r="K37" s="1"/>
      <c r="M37" s="1"/>
      <c r="N37" s="1"/>
      <c r="P37" s="1"/>
      <c r="Q37" s="1"/>
    </row>
    <row r="38" spans="1:17" x14ac:dyDescent="0.25">
      <c r="A38" s="49"/>
      <c r="B38" s="1"/>
      <c r="C38" s="45"/>
      <c r="D38" s="1"/>
      <c r="E38" s="1"/>
      <c r="G38" s="1"/>
      <c r="H38" s="1"/>
      <c r="I38" s="4"/>
      <c r="J38" s="1"/>
      <c r="K38" s="1"/>
      <c r="M38" s="1"/>
      <c r="N38" s="1"/>
      <c r="P38" s="1"/>
      <c r="Q38" s="1"/>
    </row>
    <row r="39" spans="1:17" x14ac:dyDescent="0.25">
      <c r="A39" s="49"/>
      <c r="B39" s="1"/>
      <c r="C39" s="48" t="s">
        <v>18</v>
      </c>
      <c r="D39" s="3"/>
      <c r="E39" s="3"/>
      <c r="F39" s="5"/>
      <c r="G39" s="3"/>
      <c r="H39" s="3">
        <f>SUM(H6:H37)</f>
        <v>188</v>
      </c>
      <c r="I39" s="6"/>
      <c r="J39" s="3"/>
      <c r="K39" s="3">
        <f>SUM(K6:K37)</f>
        <v>348</v>
      </c>
      <c r="L39" s="5"/>
      <c r="M39" s="3"/>
      <c r="N39" s="7">
        <f>SUM(N6:N37)</f>
        <v>662</v>
      </c>
      <c r="P39" s="3"/>
      <c r="Q39" s="7">
        <f>SUM(Q6:Q37)</f>
        <v>1784</v>
      </c>
    </row>
    <row r="40" spans="1:17" x14ac:dyDescent="0.25">
      <c r="A40" s="9"/>
      <c r="B40" s="9"/>
      <c r="C40" s="45"/>
      <c r="D40" s="1"/>
      <c r="E40" s="1"/>
      <c r="G40" s="9"/>
      <c r="H40" s="9"/>
      <c r="I40" s="8"/>
      <c r="J40" s="9"/>
      <c r="K40" s="9"/>
      <c r="L40" s="8"/>
      <c r="M40" s="9"/>
      <c r="N40" s="1"/>
      <c r="P40" s="9"/>
      <c r="Q40" s="1"/>
    </row>
    <row r="43" spans="1:17" x14ac:dyDescent="0.25">
      <c r="A43" s="14" t="s">
        <v>739</v>
      </c>
      <c r="B43" s="14"/>
      <c r="C43" s="14" t="s">
        <v>181</v>
      </c>
      <c r="E43" s="10"/>
    </row>
    <row r="44" spans="1:17" x14ac:dyDescent="0.25">
      <c r="A44" s="14" t="s">
        <v>740</v>
      </c>
      <c r="B44" s="14"/>
      <c r="C44" s="14" t="s">
        <v>182</v>
      </c>
      <c r="E44" s="10"/>
    </row>
    <row r="45" spans="1:17" x14ac:dyDescent="0.25">
      <c r="A45" s="27" t="s">
        <v>217</v>
      </c>
      <c r="B45" s="27"/>
      <c r="C45" t="s">
        <v>741</v>
      </c>
    </row>
  </sheetData>
  <sortState xmlns:xlrd2="http://schemas.microsoft.com/office/spreadsheetml/2017/richdata2" ref="A6:E11">
    <sortCondition ref="A8:A11"/>
  </sortState>
  <mergeCells count="4">
    <mergeCell ref="G4:H4"/>
    <mergeCell ref="J4:K4"/>
    <mergeCell ref="M4:N4"/>
    <mergeCell ref="P4:Q4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B71C-38E4-4242-BB65-133B88BAA046}">
  <dimension ref="A1:R28"/>
  <sheetViews>
    <sheetView workbookViewId="0">
      <selection activeCell="E11" sqref="E11"/>
    </sheetView>
  </sheetViews>
  <sheetFormatPr defaultRowHeight="15" x14ac:dyDescent="0.25"/>
  <cols>
    <col min="1" max="1" width="22.5703125" customWidth="1"/>
    <col min="2" max="2" width="15.85546875" customWidth="1"/>
    <col min="3" max="3" width="29.140625" customWidth="1"/>
    <col min="4" max="4" width="27.7109375" customWidth="1"/>
  </cols>
  <sheetData>
    <row r="1" spans="1:18" ht="16.5" x14ac:dyDescent="0.25">
      <c r="A1" s="14" t="s">
        <v>198</v>
      </c>
      <c r="B1" s="14"/>
      <c r="C1" s="14" t="s">
        <v>249</v>
      </c>
    </row>
    <row r="2" spans="1:18" ht="16.5" x14ac:dyDescent="0.25">
      <c r="A2" s="14" t="s">
        <v>195</v>
      </c>
      <c r="B2" s="14"/>
      <c r="C2" s="14" t="s">
        <v>250</v>
      </c>
    </row>
    <row r="3" spans="1:18" ht="17.25" thickBot="1" x14ac:dyDescent="0.3"/>
    <row r="4" spans="1:18" ht="17.25" thickBot="1" x14ac:dyDescent="0.3">
      <c r="A4" s="7" t="s">
        <v>187</v>
      </c>
      <c r="B4" s="14"/>
      <c r="C4" s="28"/>
      <c r="D4" s="14" t="s">
        <v>159</v>
      </c>
      <c r="E4" s="29">
        <v>0.4</v>
      </c>
      <c r="G4" s="58" t="s">
        <v>0</v>
      </c>
      <c r="H4" s="59"/>
      <c r="J4" s="58" t="s">
        <v>1</v>
      </c>
      <c r="K4" s="59"/>
      <c r="M4" s="58" t="s">
        <v>20</v>
      </c>
      <c r="N4" s="59"/>
      <c r="P4" s="58" t="s">
        <v>290</v>
      </c>
      <c r="Q4" s="59"/>
    </row>
    <row r="5" spans="1:18" x14ac:dyDescent="0.25">
      <c r="A5" s="7" t="s">
        <v>301</v>
      </c>
      <c r="B5" s="7" t="s">
        <v>527</v>
      </c>
      <c r="C5" s="7" t="s">
        <v>158</v>
      </c>
      <c r="D5" s="7" t="s">
        <v>153</v>
      </c>
      <c r="E5" s="7" t="s">
        <v>3</v>
      </c>
      <c r="G5" s="15" t="s">
        <v>4</v>
      </c>
      <c r="H5" s="15" t="s">
        <v>5</v>
      </c>
      <c r="J5" s="15" t="s">
        <v>4</v>
      </c>
      <c r="K5" s="15" t="s">
        <v>5</v>
      </c>
      <c r="M5" s="15" t="s">
        <v>4</v>
      </c>
      <c r="N5" s="15" t="s">
        <v>5</v>
      </c>
      <c r="P5" s="15" t="s">
        <v>4</v>
      </c>
      <c r="Q5" s="15" t="s">
        <v>5</v>
      </c>
    </row>
    <row r="6" spans="1:18" x14ac:dyDescent="0.25">
      <c r="A6" s="49"/>
      <c r="B6" s="49"/>
      <c r="C6" s="7"/>
      <c r="D6" s="7"/>
      <c r="E6" s="7"/>
      <c r="G6" s="15"/>
      <c r="H6" s="15"/>
      <c r="J6" s="15"/>
      <c r="K6" s="15"/>
      <c r="M6" s="15"/>
      <c r="N6" s="15"/>
      <c r="P6" s="15"/>
      <c r="Q6" s="15"/>
    </row>
    <row r="7" spans="1:18" x14ac:dyDescent="0.25">
      <c r="A7" s="49"/>
      <c r="B7" s="49"/>
      <c r="C7" s="7" t="s">
        <v>187</v>
      </c>
      <c r="D7" s="1"/>
      <c r="E7" s="1"/>
      <c r="G7" s="1"/>
      <c r="H7" s="1"/>
      <c r="J7" s="1"/>
      <c r="K7" s="1"/>
      <c r="M7" s="1"/>
      <c r="N7" s="1"/>
      <c r="P7" s="1"/>
      <c r="Q7" s="1"/>
    </row>
    <row r="8" spans="1:18" x14ac:dyDescent="0.25">
      <c r="A8" s="49" t="s">
        <v>454</v>
      </c>
      <c r="B8" s="49"/>
      <c r="C8" s="1" t="s">
        <v>188</v>
      </c>
      <c r="D8" s="1" t="s">
        <v>191</v>
      </c>
      <c r="E8" s="1">
        <v>150</v>
      </c>
      <c r="G8" s="1">
        <v>1</v>
      </c>
      <c r="H8" s="1">
        <f>E8</f>
        <v>150</v>
      </c>
      <c r="J8" s="1">
        <v>2</v>
      </c>
      <c r="K8" s="1">
        <f>J8*E8</f>
        <v>300</v>
      </c>
      <c r="M8" s="1">
        <v>0</v>
      </c>
      <c r="N8" s="1">
        <v>0</v>
      </c>
      <c r="P8" s="1">
        <v>0</v>
      </c>
      <c r="Q8" s="1">
        <v>0</v>
      </c>
    </row>
    <row r="9" spans="1:18" x14ac:dyDescent="0.25">
      <c r="A9" s="49" t="s">
        <v>147</v>
      </c>
      <c r="B9" s="49"/>
      <c r="C9" s="1"/>
      <c r="D9" s="1"/>
      <c r="E9" s="1"/>
      <c r="G9" s="1"/>
      <c r="H9" s="1"/>
      <c r="J9" s="1"/>
      <c r="K9" s="1">
        <f t="shared" ref="K9:K17" si="0">J9*E9</f>
        <v>0</v>
      </c>
      <c r="M9" s="1"/>
      <c r="N9" s="1"/>
      <c r="P9" s="1"/>
      <c r="Q9" s="1"/>
    </row>
    <row r="10" spans="1:18" x14ac:dyDescent="0.25">
      <c r="A10" s="49"/>
      <c r="B10" s="49"/>
      <c r="C10" s="1"/>
      <c r="D10" s="1"/>
      <c r="E10" s="1"/>
      <c r="G10" s="1"/>
      <c r="H10" s="1"/>
      <c r="J10" s="1"/>
      <c r="K10" s="1">
        <f t="shared" si="0"/>
        <v>0</v>
      </c>
      <c r="M10" s="1"/>
      <c r="N10" s="1"/>
      <c r="P10" s="1"/>
      <c r="Q10" s="1"/>
    </row>
    <row r="11" spans="1:18" x14ac:dyDescent="0.25">
      <c r="A11" s="49" t="s">
        <v>248</v>
      </c>
      <c r="B11" s="49" t="s">
        <v>751</v>
      </c>
      <c r="C11" s="1" t="s">
        <v>189</v>
      </c>
      <c r="D11" s="1" t="s">
        <v>192</v>
      </c>
      <c r="E11" s="1">
        <v>650</v>
      </c>
      <c r="G11" s="1">
        <v>0</v>
      </c>
      <c r="H11" s="1">
        <v>0</v>
      </c>
      <c r="J11" s="1">
        <v>0</v>
      </c>
      <c r="K11" s="1">
        <f t="shared" si="0"/>
        <v>0</v>
      </c>
      <c r="M11" s="1">
        <v>1</v>
      </c>
      <c r="N11" s="1">
        <f>E11*M11</f>
        <v>650</v>
      </c>
      <c r="P11" s="1">
        <v>0</v>
      </c>
      <c r="Q11" s="1">
        <v>0</v>
      </c>
    </row>
    <row r="12" spans="1:18" x14ac:dyDescent="0.25">
      <c r="A12" s="49"/>
      <c r="B12" s="49"/>
      <c r="C12" s="1"/>
      <c r="D12" s="1"/>
      <c r="E12" s="1"/>
      <c r="G12" s="1"/>
      <c r="H12" s="1"/>
      <c r="J12" s="1"/>
      <c r="K12" s="1">
        <f t="shared" si="0"/>
        <v>0</v>
      </c>
      <c r="M12" s="1"/>
      <c r="N12" s="1"/>
      <c r="P12" s="1"/>
      <c r="Q12" s="1"/>
    </row>
    <row r="13" spans="1:18" x14ac:dyDescent="0.25">
      <c r="A13" s="49" t="s">
        <v>455</v>
      </c>
      <c r="B13" s="49" t="s">
        <v>751</v>
      </c>
      <c r="C13" s="1" t="s">
        <v>190</v>
      </c>
      <c r="D13" s="1" t="s">
        <v>193</v>
      </c>
      <c r="E13" s="1">
        <v>1200</v>
      </c>
      <c r="G13" s="1">
        <v>0</v>
      </c>
      <c r="H13" s="1">
        <v>0</v>
      </c>
      <c r="J13" s="1">
        <v>0</v>
      </c>
      <c r="K13" s="1">
        <f t="shared" si="0"/>
        <v>0</v>
      </c>
      <c r="M13" s="1">
        <v>0</v>
      </c>
      <c r="N13" s="1">
        <v>0</v>
      </c>
      <c r="P13" s="1">
        <v>1</v>
      </c>
      <c r="Q13" s="1">
        <f>E13*P13</f>
        <v>1200</v>
      </c>
    </row>
    <row r="14" spans="1:18" x14ac:dyDescent="0.25">
      <c r="A14" s="49"/>
      <c r="B14" s="49"/>
      <c r="C14" s="1" t="s">
        <v>59</v>
      </c>
      <c r="D14" s="1"/>
      <c r="E14" s="1"/>
      <c r="G14" s="1"/>
      <c r="I14" s="1">
        <f>SUM(H8:H13)</f>
        <v>150</v>
      </c>
      <c r="J14" s="1"/>
      <c r="L14" s="1">
        <f>SUM(K8:K13)</f>
        <v>300</v>
      </c>
      <c r="M14" s="1"/>
      <c r="O14" s="1">
        <f>SUM(N8:N13)</f>
        <v>650</v>
      </c>
      <c r="P14" s="1"/>
      <c r="R14" s="1">
        <f>SUM(Q8:Q13)</f>
        <v>1200</v>
      </c>
    </row>
    <row r="15" spans="1:18" x14ac:dyDescent="0.25">
      <c r="A15" s="49"/>
      <c r="B15" s="49"/>
      <c r="C15" s="1"/>
      <c r="D15" s="1"/>
      <c r="E15" s="1"/>
      <c r="G15" s="1"/>
      <c r="I15" s="4"/>
      <c r="J15" s="1"/>
      <c r="K15" s="1"/>
      <c r="M15" s="1"/>
      <c r="N15" s="1"/>
      <c r="P15" s="1"/>
      <c r="Q15" s="1"/>
    </row>
    <row r="16" spans="1:18" x14ac:dyDescent="0.25">
      <c r="A16" s="49"/>
      <c r="B16" s="49"/>
      <c r="C16" s="7" t="s">
        <v>151</v>
      </c>
      <c r="D16" s="1"/>
      <c r="E16" s="1"/>
      <c r="G16" s="1"/>
      <c r="H16" s="1"/>
      <c r="I16" s="4"/>
      <c r="J16" s="1"/>
      <c r="K16" s="1"/>
      <c r="M16" s="1"/>
      <c r="N16" s="1"/>
      <c r="P16" s="1"/>
      <c r="Q16" s="1"/>
    </row>
    <row r="17" spans="1:17" x14ac:dyDescent="0.25">
      <c r="A17" s="49" t="s">
        <v>456</v>
      </c>
      <c r="B17" s="49"/>
      <c r="C17" s="1" t="s">
        <v>172</v>
      </c>
      <c r="D17" s="1"/>
      <c r="E17" s="1">
        <v>20</v>
      </c>
      <c r="G17" s="1">
        <v>1</v>
      </c>
      <c r="H17" s="1">
        <f>E17*G17</f>
        <v>20</v>
      </c>
      <c r="I17" s="4"/>
      <c r="J17" s="1">
        <v>1</v>
      </c>
      <c r="K17" s="1">
        <f t="shared" si="0"/>
        <v>20</v>
      </c>
      <c r="M17" s="1">
        <v>1</v>
      </c>
      <c r="N17" s="1">
        <f t="shared" ref="N17" si="1">E17*M17</f>
        <v>20</v>
      </c>
      <c r="P17" s="1">
        <v>1</v>
      </c>
      <c r="Q17" s="1">
        <f t="shared" ref="Q17" si="2">H17*P17</f>
        <v>20</v>
      </c>
    </row>
    <row r="18" spans="1:17" x14ac:dyDescent="0.25">
      <c r="A18" s="49" t="s">
        <v>743</v>
      </c>
      <c r="B18" s="49"/>
      <c r="C18" s="1" t="s">
        <v>428</v>
      </c>
      <c r="D18" s="1"/>
      <c r="E18" s="1"/>
      <c r="G18" s="1">
        <v>1</v>
      </c>
      <c r="H18" s="1">
        <f>I14*0.1</f>
        <v>15</v>
      </c>
      <c r="I18" s="4"/>
      <c r="J18" s="1"/>
      <c r="K18" s="1"/>
      <c r="M18" s="1"/>
      <c r="N18" s="1"/>
      <c r="P18" s="1"/>
      <c r="Q18" s="1"/>
    </row>
    <row r="19" spans="1:17" x14ac:dyDescent="0.25">
      <c r="A19" s="49" t="s">
        <v>457</v>
      </c>
      <c r="B19" s="49"/>
      <c r="C19" s="1" t="s">
        <v>429</v>
      </c>
      <c r="D19" s="1"/>
      <c r="E19" s="1"/>
      <c r="G19" s="1"/>
      <c r="H19" s="1"/>
      <c r="I19" s="4"/>
      <c r="J19" s="1">
        <v>1</v>
      </c>
      <c r="K19" s="1">
        <f>L14*0.1</f>
        <v>30</v>
      </c>
      <c r="M19" s="1"/>
      <c r="N19" s="1"/>
      <c r="P19" s="1"/>
      <c r="Q19" s="1"/>
    </row>
    <row r="20" spans="1:17" x14ac:dyDescent="0.25">
      <c r="A20" s="49" t="s">
        <v>316</v>
      </c>
      <c r="B20" s="49"/>
      <c r="C20" s="1" t="s">
        <v>430</v>
      </c>
      <c r="D20" s="1"/>
      <c r="E20" s="1"/>
      <c r="G20" s="1"/>
      <c r="H20" s="1"/>
      <c r="I20" s="4"/>
      <c r="J20" s="1"/>
      <c r="K20" s="1"/>
      <c r="M20" s="1">
        <v>1</v>
      </c>
      <c r="N20" s="1">
        <f>O14*0.1</f>
        <v>65</v>
      </c>
      <c r="P20" s="1"/>
      <c r="Q20" s="1"/>
    </row>
    <row r="21" spans="1:17" x14ac:dyDescent="0.25">
      <c r="A21" s="49" t="s">
        <v>432</v>
      </c>
      <c r="B21" s="49"/>
      <c r="C21" s="1" t="s">
        <v>431</v>
      </c>
      <c r="D21" s="1"/>
      <c r="E21" s="1"/>
      <c r="G21" s="1"/>
      <c r="H21" s="1"/>
      <c r="I21" s="4"/>
      <c r="J21" s="1"/>
      <c r="K21" s="1"/>
      <c r="M21" s="1"/>
      <c r="N21" s="1"/>
      <c r="P21" s="1">
        <v>1</v>
      </c>
      <c r="Q21" s="1">
        <f>R14*0.1</f>
        <v>120</v>
      </c>
    </row>
    <row r="22" spans="1:17" x14ac:dyDescent="0.25">
      <c r="A22" s="27"/>
      <c r="B22" s="31"/>
      <c r="C22" s="1"/>
      <c r="D22" s="1"/>
      <c r="E22" s="1"/>
      <c r="G22" s="1"/>
      <c r="H22" s="1"/>
      <c r="I22" s="4"/>
      <c r="J22" s="1"/>
      <c r="K22" s="1"/>
      <c r="M22" s="1"/>
      <c r="N22" s="1"/>
      <c r="P22" s="1"/>
      <c r="Q22" s="1"/>
    </row>
    <row r="23" spans="1:17" x14ac:dyDescent="0.25">
      <c r="A23" s="27"/>
      <c r="B23" s="31"/>
      <c r="C23" s="1"/>
      <c r="D23" s="1"/>
      <c r="E23" s="1"/>
      <c r="G23" s="1"/>
      <c r="H23" s="1"/>
      <c r="I23" s="4"/>
      <c r="J23" s="1"/>
      <c r="K23" s="1"/>
      <c r="M23" s="1"/>
      <c r="N23" s="1"/>
      <c r="P23" s="1"/>
      <c r="Q23" s="1"/>
    </row>
    <row r="24" spans="1:17" s="14" customFormat="1" x14ac:dyDescent="0.25">
      <c r="B24" s="7"/>
      <c r="C24" s="7" t="s">
        <v>18</v>
      </c>
      <c r="D24" s="7"/>
      <c r="E24" s="7"/>
      <c r="G24" s="7"/>
      <c r="H24" s="7">
        <f>SUM(H8:H20)</f>
        <v>185</v>
      </c>
      <c r="I24" s="30"/>
      <c r="J24" s="7"/>
      <c r="K24" s="7">
        <f>SUM(K8:K20)</f>
        <v>350</v>
      </c>
      <c r="M24" s="7"/>
      <c r="N24" s="7">
        <f>SUM(N7:N20)</f>
        <v>735</v>
      </c>
      <c r="P24" s="7"/>
      <c r="Q24" s="7">
        <f>SUM(Q7:Q20)</f>
        <v>1220</v>
      </c>
    </row>
    <row r="25" spans="1:17" x14ac:dyDescent="0.25">
      <c r="A25" s="8"/>
      <c r="B25" s="9"/>
      <c r="C25" s="1"/>
      <c r="D25" s="1"/>
      <c r="E25" s="1"/>
      <c r="G25" s="9"/>
      <c r="H25" s="9"/>
      <c r="I25" s="8"/>
      <c r="J25" s="9"/>
      <c r="K25" s="9"/>
      <c r="L25" s="8"/>
      <c r="M25" s="9"/>
      <c r="N25" s="1"/>
      <c r="P25" s="9"/>
      <c r="Q25" s="1"/>
    </row>
    <row r="27" spans="1:17" x14ac:dyDescent="0.25">
      <c r="A27" s="14" t="s">
        <v>183</v>
      </c>
      <c r="B27" s="14"/>
      <c r="C27" s="14" t="s">
        <v>288</v>
      </c>
    </row>
    <row r="28" spans="1:17" x14ac:dyDescent="0.25">
      <c r="A28" s="14" t="s">
        <v>742</v>
      </c>
      <c r="B28" s="14"/>
      <c r="C28" s="14"/>
    </row>
  </sheetData>
  <mergeCells count="4">
    <mergeCell ref="G4:H4"/>
    <mergeCell ref="J4:K4"/>
    <mergeCell ref="M4:N4"/>
    <mergeCell ref="P4:Q4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AB80-9CEC-4D46-8F3A-780D2A1DE202}">
  <dimension ref="A1:R29"/>
  <sheetViews>
    <sheetView workbookViewId="0">
      <selection activeCell="B10" sqref="B10"/>
    </sheetView>
  </sheetViews>
  <sheetFormatPr defaultRowHeight="15" x14ac:dyDescent="0.25"/>
  <cols>
    <col min="1" max="1" width="21.7109375" customWidth="1"/>
    <col min="2" max="2" width="16.42578125" customWidth="1"/>
    <col min="3" max="3" width="23.42578125" customWidth="1"/>
    <col min="4" max="4" width="31.28515625" customWidth="1"/>
  </cols>
  <sheetData>
    <row r="1" spans="1:18" x14ac:dyDescent="0.25">
      <c r="A1" s="14" t="s">
        <v>198</v>
      </c>
      <c r="B1" s="14"/>
      <c r="C1" s="14" t="s">
        <v>292</v>
      </c>
    </row>
    <row r="2" spans="1:18" x14ac:dyDescent="0.25">
      <c r="A2" s="14" t="s">
        <v>195</v>
      </c>
      <c r="B2" s="14"/>
      <c r="C2" s="14" t="s">
        <v>274</v>
      </c>
    </row>
    <row r="3" spans="1:18" ht="15.75" thickBot="1" x14ac:dyDescent="0.3"/>
    <row r="4" spans="1:18" ht="15.75" thickBot="1" x14ac:dyDescent="0.3">
      <c r="A4" s="54" t="s">
        <v>275</v>
      </c>
      <c r="B4" s="14"/>
      <c r="C4" s="28"/>
      <c r="D4" s="14" t="s">
        <v>159</v>
      </c>
      <c r="E4" s="29">
        <v>0.4</v>
      </c>
      <c r="G4" s="58" t="s">
        <v>0</v>
      </c>
      <c r="H4" s="59"/>
      <c r="J4" s="58" t="s">
        <v>1</v>
      </c>
      <c r="K4" s="59"/>
      <c r="M4" s="58" t="s">
        <v>20</v>
      </c>
      <c r="N4" s="59"/>
      <c r="P4" s="58" t="s">
        <v>290</v>
      </c>
      <c r="Q4" s="59"/>
    </row>
    <row r="5" spans="1:18" x14ac:dyDescent="0.25">
      <c r="A5" s="1"/>
      <c r="B5" s="7" t="s">
        <v>763</v>
      </c>
      <c r="C5" s="7" t="s">
        <v>158</v>
      </c>
      <c r="D5" s="7" t="s">
        <v>153</v>
      </c>
      <c r="E5" s="7" t="s">
        <v>3</v>
      </c>
      <c r="G5" s="15" t="s">
        <v>4</v>
      </c>
      <c r="H5" s="15" t="s">
        <v>5</v>
      </c>
      <c r="J5" s="15" t="s">
        <v>4</v>
      </c>
      <c r="K5" s="15" t="s">
        <v>5</v>
      </c>
      <c r="M5" s="15" t="s">
        <v>4</v>
      </c>
      <c r="N5" s="15" t="s">
        <v>5</v>
      </c>
      <c r="P5" s="15" t="s">
        <v>4</v>
      </c>
      <c r="Q5" s="15" t="s">
        <v>5</v>
      </c>
    </row>
    <row r="6" spans="1:18" x14ac:dyDescent="0.25">
      <c r="A6" s="1"/>
      <c r="B6" s="1"/>
      <c r="C6" s="7"/>
      <c r="D6" s="7"/>
      <c r="E6" s="7"/>
      <c r="G6" s="15"/>
      <c r="H6" s="15"/>
      <c r="J6" s="15"/>
      <c r="K6" s="15"/>
      <c r="M6" s="15"/>
      <c r="N6" s="15"/>
      <c r="P6" s="15"/>
      <c r="Q6" s="15"/>
    </row>
    <row r="7" spans="1:18" x14ac:dyDescent="0.25">
      <c r="A7" s="31" t="s">
        <v>323</v>
      </c>
      <c r="B7" s="49" t="s">
        <v>287</v>
      </c>
      <c r="C7" s="1" t="s">
        <v>276</v>
      </c>
      <c r="D7" s="1" t="s">
        <v>294</v>
      </c>
      <c r="E7" s="1">
        <v>145</v>
      </c>
      <c r="G7" s="1">
        <v>1</v>
      </c>
      <c r="H7" s="1">
        <f>G7*E7</f>
        <v>145</v>
      </c>
      <c r="J7" s="1">
        <v>1</v>
      </c>
      <c r="K7" s="1">
        <f>J7*E7</f>
        <v>145</v>
      </c>
      <c r="M7" s="1">
        <v>1</v>
      </c>
      <c r="N7" s="1">
        <f>M7*E7</f>
        <v>145</v>
      </c>
      <c r="P7" s="1">
        <v>0</v>
      </c>
      <c r="Q7" s="1">
        <f>P7*E7</f>
        <v>0</v>
      </c>
    </row>
    <row r="8" spans="1:18" x14ac:dyDescent="0.25">
      <c r="A8" s="49" t="s">
        <v>324</v>
      </c>
      <c r="B8" s="49" t="s">
        <v>287</v>
      </c>
      <c r="C8" s="1" t="s">
        <v>276</v>
      </c>
      <c r="D8" s="1" t="s">
        <v>296</v>
      </c>
      <c r="E8" s="1">
        <v>200</v>
      </c>
      <c r="G8" s="1">
        <v>0</v>
      </c>
      <c r="H8" s="1">
        <f t="shared" ref="H8:H15" si="0">G8*E8</f>
        <v>0</v>
      </c>
      <c r="J8" s="1">
        <v>0</v>
      </c>
      <c r="K8" s="1">
        <f t="shared" ref="K8:K15" si="1">J8*E8</f>
        <v>0</v>
      </c>
      <c r="M8" s="1">
        <v>0</v>
      </c>
      <c r="N8" s="1">
        <f t="shared" ref="N8:N15" si="2">M8*E8</f>
        <v>0</v>
      </c>
      <c r="P8" s="1">
        <v>1</v>
      </c>
      <c r="Q8" s="1">
        <f t="shared" ref="Q8:Q15" si="3">P8*E8</f>
        <v>200</v>
      </c>
    </row>
    <row r="9" spans="1:18" x14ac:dyDescent="0.25">
      <c r="A9" s="49" t="s">
        <v>325</v>
      </c>
      <c r="B9" s="49" t="s">
        <v>287</v>
      </c>
      <c r="C9" s="1" t="s">
        <v>277</v>
      </c>
      <c r="D9" s="1" t="s">
        <v>278</v>
      </c>
      <c r="E9" s="1">
        <v>32</v>
      </c>
      <c r="G9" s="1">
        <v>1</v>
      </c>
      <c r="H9" s="1">
        <f t="shared" si="0"/>
        <v>32</v>
      </c>
      <c r="J9" s="1">
        <v>0</v>
      </c>
      <c r="K9" s="1">
        <f t="shared" si="1"/>
        <v>0</v>
      </c>
      <c r="M9" s="1">
        <v>1</v>
      </c>
      <c r="N9" s="1">
        <f t="shared" si="2"/>
        <v>32</v>
      </c>
      <c r="P9" s="1">
        <v>0</v>
      </c>
      <c r="Q9" s="1">
        <f t="shared" si="3"/>
        <v>0</v>
      </c>
    </row>
    <row r="10" spans="1:18" x14ac:dyDescent="0.25">
      <c r="A10" s="49" t="s">
        <v>326</v>
      </c>
      <c r="B10" s="49" t="s">
        <v>287</v>
      </c>
      <c r="C10" s="1" t="s">
        <v>277</v>
      </c>
      <c r="D10" s="1" t="s">
        <v>297</v>
      </c>
      <c r="E10" s="1">
        <v>125</v>
      </c>
      <c r="G10" s="1">
        <v>0</v>
      </c>
      <c r="H10" s="1">
        <f t="shared" si="0"/>
        <v>0</v>
      </c>
      <c r="J10" s="1">
        <v>0</v>
      </c>
      <c r="K10" s="1">
        <f t="shared" si="1"/>
        <v>0</v>
      </c>
      <c r="M10" s="1">
        <v>0</v>
      </c>
      <c r="N10" s="1">
        <f t="shared" si="2"/>
        <v>0</v>
      </c>
      <c r="P10" s="1">
        <v>1</v>
      </c>
      <c r="Q10" s="1">
        <f t="shared" si="3"/>
        <v>125</v>
      </c>
    </row>
    <row r="11" spans="1:18" x14ac:dyDescent="0.25">
      <c r="A11" s="49" t="s">
        <v>327</v>
      </c>
      <c r="B11" s="49" t="s">
        <v>287</v>
      </c>
      <c r="C11" s="1" t="s">
        <v>279</v>
      </c>
      <c r="D11" s="1" t="s">
        <v>281</v>
      </c>
      <c r="E11" s="1">
        <v>180</v>
      </c>
      <c r="G11" s="1">
        <v>0</v>
      </c>
      <c r="H11" s="1">
        <f t="shared" si="0"/>
        <v>0</v>
      </c>
      <c r="J11" s="1">
        <v>1</v>
      </c>
      <c r="K11" s="1">
        <f t="shared" si="1"/>
        <v>180</v>
      </c>
      <c r="M11" s="1">
        <v>2</v>
      </c>
      <c r="N11" s="1">
        <f t="shared" si="2"/>
        <v>360</v>
      </c>
      <c r="P11" s="1">
        <v>2</v>
      </c>
      <c r="Q11" s="1">
        <f t="shared" si="3"/>
        <v>360</v>
      </c>
    </row>
    <row r="12" spans="1:18" x14ac:dyDescent="0.25">
      <c r="A12" s="49" t="s">
        <v>328</v>
      </c>
      <c r="B12" s="49" t="s">
        <v>287</v>
      </c>
      <c r="C12" s="1" t="s">
        <v>280</v>
      </c>
      <c r="D12" s="1" t="s">
        <v>298</v>
      </c>
      <c r="E12" s="1">
        <v>460</v>
      </c>
      <c r="G12" s="1">
        <v>0</v>
      </c>
      <c r="H12" s="1">
        <f t="shared" si="0"/>
        <v>0</v>
      </c>
      <c r="J12" s="1">
        <v>0</v>
      </c>
      <c r="K12" s="1">
        <f t="shared" si="1"/>
        <v>0</v>
      </c>
      <c r="M12" s="1">
        <v>0</v>
      </c>
      <c r="N12" s="1">
        <f t="shared" si="2"/>
        <v>0</v>
      </c>
      <c r="P12" s="1">
        <v>1</v>
      </c>
      <c r="Q12" s="1">
        <f t="shared" si="3"/>
        <v>460</v>
      </c>
    </row>
    <row r="13" spans="1:18" x14ac:dyDescent="0.25">
      <c r="A13" s="49" t="s">
        <v>329</v>
      </c>
      <c r="B13" s="49" t="s">
        <v>287</v>
      </c>
      <c r="C13" s="1" t="s">
        <v>282</v>
      </c>
      <c r="D13" s="1" t="s">
        <v>283</v>
      </c>
      <c r="E13" s="1">
        <v>360</v>
      </c>
      <c r="G13" s="1">
        <v>0</v>
      </c>
      <c r="H13" s="1">
        <f t="shared" si="0"/>
        <v>0</v>
      </c>
      <c r="J13" s="1">
        <v>0</v>
      </c>
      <c r="K13" s="1">
        <f t="shared" si="1"/>
        <v>0</v>
      </c>
      <c r="M13" s="1">
        <v>0</v>
      </c>
      <c r="N13" s="1">
        <f t="shared" si="2"/>
        <v>0</v>
      </c>
      <c r="P13" s="1">
        <v>1</v>
      </c>
      <c r="Q13" s="1">
        <f t="shared" si="3"/>
        <v>360</v>
      </c>
    </row>
    <row r="14" spans="1:18" x14ac:dyDescent="0.25">
      <c r="A14" s="49" t="s">
        <v>330</v>
      </c>
      <c r="B14" s="49" t="s">
        <v>287</v>
      </c>
      <c r="C14" s="1" t="s">
        <v>284</v>
      </c>
      <c r="D14" s="1" t="s">
        <v>285</v>
      </c>
      <c r="E14" s="1">
        <v>12</v>
      </c>
      <c r="G14" s="1">
        <v>0</v>
      </c>
      <c r="H14" s="1">
        <f t="shared" si="0"/>
        <v>0</v>
      </c>
      <c r="J14" s="1">
        <v>0</v>
      </c>
      <c r="K14" s="1">
        <f t="shared" si="1"/>
        <v>0</v>
      </c>
      <c r="M14" s="1">
        <v>2</v>
      </c>
      <c r="N14" s="1">
        <f t="shared" si="2"/>
        <v>24</v>
      </c>
      <c r="P14" s="1">
        <v>3</v>
      </c>
      <c r="Q14" s="1">
        <f t="shared" si="3"/>
        <v>36</v>
      </c>
    </row>
    <row r="15" spans="1:18" x14ac:dyDescent="0.25">
      <c r="A15" s="49" t="s">
        <v>435</v>
      </c>
      <c r="B15" s="49" t="s">
        <v>287</v>
      </c>
      <c r="C15" s="1" t="s">
        <v>286</v>
      </c>
      <c r="D15" s="1" t="s">
        <v>295</v>
      </c>
      <c r="E15" s="1">
        <v>35</v>
      </c>
      <c r="G15" s="1">
        <v>0</v>
      </c>
      <c r="H15" s="1">
        <f t="shared" si="0"/>
        <v>0</v>
      </c>
      <c r="J15" s="1">
        <v>0</v>
      </c>
      <c r="K15" s="1">
        <f t="shared" si="1"/>
        <v>0</v>
      </c>
      <c r="M15" s="1">
        <v>1</v>
      </c>
      <c r="N15" s="1">
        <f t="shared" si="2"/>
        <v>35</v>
      </c>
      <c r="P15" s="1">
        <v>1</v>
      </c>
      <c r="Q15" s="1">
        <f t="shared" si="3"/>
        <v>35</v>
      </c>
    </row>
    <row r="16" spans="1:18" x14ac:dyDescent="0.25">
      <c r="A16" s="31"/>
      <c r="B16" s="31"/>
      <c r="C16" s="1" t="s">
        <v>59</v>
      </c>
      <c r="D16" s="1"/>
      <c r="E16" s="1"/>
      <c r="G16" s="1"/>
      <c r="H16" s="1"/>
      <c r="I16">
        <f>SUM(H7:H15)</f>
        <v>177</v>
      </c>
      <c r="J16" s="1"/>
      <c r="K16" s="1"/>
      <c r="L16">
        <f>SUM(K7:K15)</f>
        <v>325</v>
      </c>
      <c r="M16" s="1"/>
      <c r="N16" s="1"/>
      <c r="O16">
        <f>SUM(N7:N15)</f>
        <v>596</v>
      </c>
      <c r="P16" s="1"/>
      <c r="Q16" s="1"/>
      <c r="R16">
        <f>SUM(Q7:Q15)</f>
        <v>1576</v>
      </c>
    </row>
    <row r="17" spans="1:17" x14ac:dyDescent="0.25">
      <c r="A17" s="31"/>
      <c r="B17" s="31"/>
      <c r="C17" s="1"/>
      <c r="D17" s="1"/>
      <c r="E17" s="1"/>
      <c r="G17" s="1"/>
      <c r="H17" s="1"/>
      <c r="J17" s="1"/>
      <c r="K17" s="1"/>
      <c r="M17" s="1"/>
      <c r="N17" s="1"/>
      <c r="P17" s="1"/>
      <c r="Q17" s="1"/>
    </row>
    <row r="18" spans="1:17" x14ac:dyDescent="0.25">
      <c r="A18" s="31"/>
      <c r="B18" s="31"/>
      <c r="C18" s="7" t="s">
        <v>151</v>
      </c>
      <c r="D18" s="1"/>
      <c r="E18" s="1"/>
      <c r="G18" s="1"/>
      <c r="H18" s="1"/>
      <c r="I18" s="4"/>
      <c r="J18" s="1"/>
      <c r="K18" s="1"/>
      <c r="M18" s="1"/>
      <c r="N18" s="1"/>
      <c r="P18" s="1"/>
      <c r="Q18" s="1"/>
    </row>
    <row r="19" spans="1:17" x14ac:dyDescent="0.25">
      <c r="A19" s="31" t="s">
        <v>458</v>
      </c>
      <c r="B19" s="31"/>
      <c r="C19" s="1" t="s">
        <v>271</v>
      </c>
      <c r="D19" s="1"/>
      <c r="E19" s="1">
        <v>20</v>
      </c>
      <c r="G19" s="1">
        <v>1</v>
      </c>
      <c r="H19" s="1">
        <v>4</v>
      </c>
      <c r="I19" s="4"/>
      <c r="J19" s="1">
        <v>1</v>
      </c>
      <c r="K19" s="1">
        <v>4</v>
      </c>
      <c r="M19" s="1">
        <v>0</v>
      </c>
      <c r="N19" s="1">
        <v>4</v>
      </c>
      <c r="P19" s="1">
        <v>0</v>
      </c>
      <c r="Q19" s="1">
        <v>4</v>
      </c>
    </row>
    <row r="20" spans="1:17" x14ac:dyDescent="0.25">
      <c r="A20" s="31" t="s">
        <v>459</v>
      </c>
      <c r="B20" s="31"/>
      <c r="C20" s="1" t="s">
        <v>428</v>
      </c>
      <c r="D20" s="1"/>
      <c r="E20" s="1"/>
      <c r="G20" s="1">
        <v>1</v>
      </c>
      <c r="H20" s="1">
        <f>I16*0.1</f>
        <v>17.7</v>
      </c>
      <c r="I20" s="4"/>
      <c r="J20" s="1"/>
      <c r="K20" s="1"/>
      <c r="M20" s="1"/>
      <c r="N20" s="1"/>
      <c r="P20" s="1"/>
      <c r="Q20" s="1"/>
    </row>
    <row r="21" spans="1:17" x14ac:dyDescent="0.25">
      <c r="A21" s="31" t="s">
        <v>460</v>
      </c>
      <c r="B21" s="31"/>
      <c r="C21" s="1" t="s">
        <v>429</v>
      </c>
      <c r="D21" s="1"/>
      <c r="E21" s="1"/>
      <c r="G21" s="1"/>
      <c r="H21" s="1"/>
      <c r="I21" s="4"/>
      <c r="J21" s="1">
        <v>1</v>
      </c>
      <c r="K21" s="1">
        <f>L16*0.1</f>
        <v>32.5</v>
      </c>
      <c r="M21" s="1"/>
      <c r="N21" s="1"/>
      <c r="P21" s="1"/>
      <c r="Q21" s="1"/>
    </row>
    <row r="22" spans="1:17" x14ac:dyDescent="0.25">
      <c r="A22" s="31" t="s">
        <v>461</v>
      </c>
      <c r="B22" s="31"/>
      <c r="C22" s="1" t="s">
        <v>430</v>
      </c>
      <c r="D22" s="1"/>
      <c r="E22" s="1"/>
      <c r="G22" s="1"/>
      <c r="H22" s="1"/>
      <c r="I22" s="4"/>
      <c r="J22" s="1"/>
      <c r="K22" s="1"/>
      <c r="M22" s="1">
        <v>1</v>
      </c>
      <c r="N22" s="1">
        <f>O16*0.1</f>
        <v>59.6</v>
      </c>
      <c r="P22" s="1"/>
      <c r="Q22" s="1"/>
    </row>
    <row r="23" spans="1:17" x14ac:dyDescent="0.25">
      <c r="A23" s="31" t="s">
        <v>462</v>
      </c>
      <c r="B23" s="31"/>
      <c r="C23" s="1" t="s">
        <v>431</v>
      </c>
      <c r="D23" s="1"/>
      <c r="E23" s="1"/>
      <c r="G23" s="1"/>
      <c r="H23" s="1"/>
      <c r="I23" s="4"/>
      <c r="J23" s="1"/>
      <c r="K23" s="1"/>
      <c r="M23" s="1"/>
      <c r="N23" s="1"/>
      <c r="P23" s="1">
        <v>1</v>
      </c>
      <c r="Q23" s="1">
        <f>R16*0.1</f>
        <v>157.60000000000002</v>
      </c>
    </row>
    <row r="24" spans="1:17" x14ac:dyDescent="0.25">
      <c r="A24" s="1"/>
      <c r="B24" s="1"/>
      <c r="C24" s="1"/>
      <c r="D24" s="1"/>
      <c r="E24" s="1"/>
      <c r="G24" s="1"/>
      <c r="H24" s="1"/>
      <c r="I24" s="4"/>
      <c r="J24" s="1"/>
      <c r="K24" s="1"/>
      <c r="M24" s="1"/>
      <c r="N24" s="1"/>
      <c r="P24" s="1"/>
      <c r="Q24" s="1"/>
    </row>
    <row r="25" spans="1:17" s="14" customFormat="1" x14ac:dyDescent="0.25">
      <c r="A25" s="7"/>
      <c r="B25" s="7"/>
      <c r="C25" s="7" t="s">
        <v>18</v>
      </c>
      <c r="D25" s="7"/>
      <c r="E25" s="7"/>
      <c r="G25" s="7"/>
      <c r="H25" s="7">
        <f>SUM(H7:H23)</f>
        <v>198.7</v>
      </c>
      <c r="I25" s="30"/>
      <c r="J25" s="7"/>
      <c r="K25" s="7">
        <f>SUM(K7:K23)</f>
        <v>361.5</v>
      </c>
      <c r="M25" s="7"/>
      <c r="N25" s="7">
        <f>SUM(N7:N23)</f>
        <v>659.6</v>
      </c>
      <c r="P25" s="7"/>
      <c r="Q25" s="7">
        <f>SUM(Q7:Q23)</f>
        <v>1737.6</v>
      </c>
    </row>
    <row r="26" spans="1:17" x14ac:dyDescent="0.25">
      <c r="A26" s="9"/>
      <c r="B26" s="9"/>
      <c r="C26" s="1"/>
      <c r="D26" s="1"/>
      <c r="E26" s="1"/>
      <c r="G26" s="9"/>
      <c r="H26" s="9"/>
      <c r="I26" s="8"/>
      <c r="J26" s="9"/>
      <c r="K26" s="9"/>
      <c r="L26" s="8"/>
      <c r="M26" s="9"/>
      <c r="N26" s="1"/>
      <c r="P26" s="9"/>
      <c r="Q26" s="1"/>
    </row>
    <row r="29" spans="1:17" x14ac:dyDescent="0.25">
      <c r="A29" s="14" t="s">
        <v>183</v>
      </c>
      <c r="B29" s="14"/>
      <c r="C29" s="14" t="s">
        <v>287</v>
      </c>
    </row>
  </sheetData>
  <mergeCells count="4">
    <mergeCell ref="G4:H4"/>
    <mergeCell ref="J4:K4"/>
    <mergeCell ref="M4:N4"/>
    <mergeCell ref="P4:Q4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C2DA-ACC8-4BA8-9F64-3834717F329D}">
  <dimension ref="A1:S30"/>
  <sheetViews>
    <sheetView tabSelected="1" workbookViewId="0">
      <selection activeCell="E11" sqref="E11"/>
    </sheetView>
  </sheetViews>
  <sheetFormatPr defaultRowHeight="15" x14ac:dyDescent="0.25"/>
  <cols>
    <col min="1" max="1" width="19.85546875" customWidth="1"/>
    <col min="2" max="2" width="11.5703125" customWidth="1"/>
    <col min="3" max="3" width="15.85546875" customWidth="1"/>
    <col min="4" max="4" width="22.85546875" customWidth="1"/>
    <col min="5" max="5" width="33.42578125" customWidth="1"/>
    <col min="12" max="12" width="9.7109375" customWidth="1"/>
  </cols>
  <sheetData>
    <row r="1" spans="1:19" x14ac:dyDescent="0.25">
      <c r="A1" s="14" t="s">
        <v>198</v>
      </c>
      <c r="B1" s="14"/>
      <c r="C1" s="14"/>
      <c r="D1" s="14" t="s">
        <v>291</v>
      </c>
    </row>
    <row r="2" spans="1:19" x14ac:dyDescent="0.25">
      <c r="A2" s="14" t="s">
        <v>195</v>
      </c>
      <c r="B2" s="14"/>
      <c r="C2" s="14"/>
      <c r="D2" s="14" t="s">
        <v>332</v>
      </c>
      <c r="E2" t="s">
        <v>147</v>
      </c>
    </row>
    <row r="3" spans="1:19" ht="15.75" thickBot="1" x14ac:dyDescent="0.3"/>
    <row r="4" spans="1:19" ht="15.75" thickBot="1" x14ac:dyDescent="0.3">
      <c r="A4" s="7" t="s">
        <v>273</v>
      </c>
      <c r="B4" s="14"/>
      <c r="C4" s="14"/>
      <c r="D4" s="28"/>
      <c r="E4" s="14" t="s">
        <v>159</v>
      </c>
      <c r="F4" s="29">
        <v>0.4</v>
      </c>
      <c r="H4" s="58" t="s">
        <v>0</v>
      </c>
      <c r="I4" s="59"/>
      <c r="K4" s="58" t="s">
        <v>1</v>
      </c>
      <c r="L4" s="59"/>
      <c r="N4" s="58" t="s">
        <v>20</v>
      </c>
      <c r="O4" s="59"/>
      <c r="Q4" s="58" t="s">
        <v>342</v>
      </c>
      <c r="R4" s="59"/>
    </row>
    <row r="5" spans="1:19" x14ac:dyDescent="0.25">
      <c r="B5" s="7" t="s">
        <v>331</v>
      </c>
      <c r="C5" s="7" t="s">
        <v>527</v>
      </c>
      <c r="D5" s="7" t="s">
        <v>158</v>
      </c>
      <c r="E5" s="7" t="s">
        <v>153</v>
      </c>
      <c r="F5" s="7" t="s">
        <v>3</v>
      </c>
      <c r="H5" s="15" t="s">
        <v>4</v>
      </c>
      <c r="I5" s="15" t="s">
        <v>5</v>
      </c>
      <c r="K5" s="15" t="s">
        <v>4</v>
      </c>
      <c r="L5" s="15" t="s">
        <v>5</v>
      </c>
      <c r="N5" s="15" t="s">
        <v>4</v>
      </c>
      <c r="O5" s="15" t="s">
        <v>5</v>
      </c>
      <c r="Q5" s="15" t="s">
        <v>4</v>
      </c>
      <c r="R5" s="15" t="s">
        <v>5</v>
      </c>
    </row>
    <row r="6" spans="1:19" x14ac:dyDescent="0.25">
      <c r="B6" s="1"/>
      <c r="C6" s="1"/>
      <c r="D6" s="7"/>
      <c r="E6" s="7"/>
      <c r="F6" s="7"/>
      <c r="H6" s="15"/>
      <c r="I6" s="15"/>
      <c r="K6" s="15"/>
      <c r="L6" s="15"/>
      <c r="N6" s="15"/>
      <c r="O6" s="15"/>
      <c r="Q6" s="15"/>
      <c r="R6" s="15"/>
    </row>
    <row r="7" spans="1:19" x14ac:dyDescent="0.25">
      <c r="A7" s="27"/>
      <c r="B7" s="31"/>
      <c r="C7" s="31"/>
      <c r="D7" s="7"/>
      <c r="E7" s="1"/>
      <c r="F7" s="1"/>
      <c r="H7" s="1"/>
      <c r="I7" s="1"/>
      <c r="K7" s="1"/>
      <c r="L7" s="1"/>
      <c r="N7" s="1"/>
      <c r="O7" s="1"/>
      <c r="Q7" s="1"/>
      <c r="R7" s="1"/>
    </row>
    <row r="8" spans="1:19" x14ac:dyDescent="0.25">
      <c r="A8" s="27"/>
      <c r="B8" s="1" t="s">
        <v>436</v>
      </c>
      <c r="C8" s="1" t="s">
        <v>287</v>
      </c>
      <c r="D8" s="1" t="s">
        <v>268</v>
      </c>
      <c r="E8" s="1" t="s">
        <v>269</v>
      </c>
      <c r="F8" s="1">
        <v>160</v>
      </c>
      <c r="H8" s="1">
        <v>1</v>
      </c>
      <c r="I8" s="1">
        <f>H8*F8</f>
        <v>160</v>
      </c>
      <c r="K8" s="1">
        <v>0</v>
      </c>
      <c r="L8" s="1">
        <f>K8*F8</f>
        <v>0</v>
      </c>
      <c r="N8" s="1">
        <v>0</v>
      </c>
      <c r="O8" s="1">
        <f>N8*F8</f>
        <v>0</v>
      </c>
      <c r="Q8" s="1">
        <v>0</v>
      </c>
      <c r="R8" s="1">
        <f>Q8*F8</f>
        <v>0</v>
      </c>
    </row>
    <row r="9" spans="1:19" x14ac:dyDescent="0.25">
      <c r="A9" s="27"/>
      <c r="B9" s="1" t="s">
        <v>437</v>
      </c>
      <c r="C9" s="1" t="s">
        <v>287</v>
      </c>
      <c r="D9" s="1" t="s">
        <v>341</v>
      </c>
      <c r="E9" s="1"/>
      <c r="F9" s="1">
        <v>20</v>
      </c>
      <c r="H9" s="1">
        <v>1</v>
      </c>
      <c r="I9" s="1">
        <f>H9*F9</f>
        <v>20</v>
      </c>
      <c r="K9" s="1">
        <v>0</v>
      </c>
      <c r="L9" s="1">
        <f t="shared" ref="L9:L15" si="0">K9*F9</f>
        <v>0</v>
      </c>
      <c r="N9" s="1">
        <v>0</v>
      </c>
      <c r="O9" s="1">
        <f t="shared" ref="O9:O15" si="1">N9*F9</f>
        <v>0</v>
      </c>
      <c r="Q9" s="1">
        <v>0</v>
      </c>
      <c r="R9" s="1">
        <f t="shared" ref="R9:R15" si="2">Q9*F9</f>
        <v>0</v>
      </c>
    </row>
    <row r="10" spans="1:19" x14ac:dyDescent="0.25">
      <c r="A10" s="27"/>
      <c r="B10" s="1" t="s">
        <v>438</v>
      </c>
      <c r="C10" s="1" t="s">
        <v>287</v>
      </c>
      <c r="D10" s="1" t="s">
        <v>334</v>
      </c>
      <c r="E10" s="1" t="s">
        <v>335</v>
      </c>
      <c r="F10" s="1">
        <v>265</v>
      </c>
      <c r="H10" s="1">
        <v>0</v>
      </c>
      <c r="I10" s="1">
        <f t="shared" ref="I10:I15" si="3">H10*F10</f>
        <v>0</v>
      </c>
      <c r="K10" s="1">
        <v>1</v>
      </c>
      <c r="L10" s="1">
        <f t="shared" si="0"/>
        <v>265</v>
      </c>
      <c r="N10" s="1">
        <v>0</v>
      </c>
      <c r="O10" s="1">
        <f t="shared" si="1"/>
        <v>0</v>
      </c>
      <c r="Q10" s="1">
        <v>0</v>
      </c>
      <c r="R10" s="1">
        <f t="shared" si="2"/>
        <v>0</v>
      </c>
    </row>
    <row r="11" spans="1:19" x14ac:dyDescent="0.25">
      <c r="A11" s="27"/>
      <c r="B11" s="1" t="s">
        <v>439</v>
      </c>
      <c r="C11" s="1" t="s">
        <v>287</v>
      </c>
      <c r="D11" s="1" t="s">
        <v>338</v>
      </c>
      <c r="E11" s="1" t="s">
        <v>336</v>
      </c>
      <c r="F11" s="1">
        <v>28</v>
      </c>
      <c r="H11" s="1">
        <v>0</v>
      </c>
      <c r="I11" s="1">
        <f t="shared" si="3"/>
        <v>0</v>
      </c>
      <c r="K11" s="1">
        <v>1</v>
      </c>
      <c r="L11" s="1">
        <f t="shared" si="0"/>
        <v>28</v>
      </c>
      <c r="N11" s="1">
        <v>0</v>
      </c>
      <c r="O11" s="1">
        <f t="shared" si="1"/>
        <v>0</v>
      </c>
      <c r="Q11" s="1">
        <v>0</v>
      </c>
      <c r="R11" s="1">
        <f t="shared" si="2"/>
        <v>0</v>
      </c>
    </row>
    <row r="12" spans="1:19" x14ac:dyDescent="0.25">
      <c r="A12" s="27"/>
      <c r="B12" s="1" t="s">
        <v>440</v>
      </c>
      <c r="C12" s="1" t="s">
        <v>287</v>
      </c>
      <c r="D12" s="1" t="s">
        <v>337</v>
      </c>
      <c r="E12" s="1" t="s">
        <v>523</v>
      </c>
      <c r="F12" s="1">
        <v>40</v>
      </c>
      <c r="H12" s="1">
        <v>0</v>
      </c>
      <c r="I12" s="1">
        <f t="shared" si="3"/>
        <v>0</v>
      </c>
      <c r="K12" s="1">
        <v>1</v>
      </c>
      <c r="L12" s="1">
        <f t="shared" si="0"/>
        <v>40</v>
      </c>
      <c r="N12" s="1">
        <v>0</v>
      </c>
      <c r="O12" s="1">
        <f t="shared" si="1"/>
        <v>0</v>
      </c>
      <c r="Q12" s="1">
        <v>0</v>
      </c>
      <c r="R12" s="1">
        <f t="shared" si="2"/>
        <v>0</v>
      </c>
    </row>
    <row r="13" spans="1:19" x14ac:dyDescent="0.25">
      <c r="A13" s="27"/>
      <c r="B13" s="1" t="s">
        <v>441</v>
      </c>
      <c r="C13" s="1" t="s">
        <v>287</v>
      </c>
      <c r="D13" s="1" t="s">
        <v>270</v>
      </c>
      <c r="E13" s="1"/>
      <c r="F13" s="1">
        <v>600</v>
      </c>
      <c r="H13" s="1">
        <v>0</v>
      </c>
      <c r="I13" s="1">
        <f t="shared" si="3"/>
        <v>0</v>
      </c>
      <c r="K13" s="1">
        <v>0</v>
      </c>
      <c r="L13" s="1">
        <f t="shared" si="0"/>
        <v>0</v>
      </c>
      <c r="N13" s="1">
        <v>1</v>
      </c>
      <c r="O13" s="1">
        <f t="shared" si="1"/>
        <v>600</v>
      </c>
      <c r="Q13" s="1">
        <v>1</v>
      </c>
      <c r="R13" s="1">
        <f t="shared" si="2"/>
        <v>600</v>
      </c>
    </row>
    <row r="14" spans="1:19" x14ac:dyDescent="0.25">
      <c r="A14" s="27"/>
      <c r="B14" s="1" t="s">
        <v>442</v>
      </c>
      <c r="C14" s="1" t="s">
        <v>287</v>
      </c>
      <c r="D14" s="1" t="s">
        <v>272</v>
      </c>
      <c r="E14" s="1" t="s">
        <v>339</v>
      </c>
      <c r="F14" s="1">
        <v>850</v>
      </c>
      <c r="H14" s="1">
        <v>0</v>
      </c>
      <c r="I14" s="1">
        <f t="shared" si="3"/>
        <v>0</v>
      </c>
      <c r="K14" s="1">
        <v>0</v>
      </c>
      <c r="L14" s="1">
        <f t="shared" si="0"/>
        <v>0</v>
      </c>
      <c r="N14" s="1">
        <v>0</v>
      </c>
      <c r="O14" s="1">
        <f t="shared" si="1"/>
        <v>0</v>
      </c>
      <c r="Q14" s="1">
        <v>1</v>
      </c>
      <c r="R14" s="1">
        <f t="shared" si="2"/>
        <v>850</v>
      </c>
    </row>
    <row r="15" spans="1:19" x14ac:dyDescent="0.25">
      <c r="A15" s="27"/>
      <c r="B15" s="1" t="s">
        <v>443</v>
      </c>
      <c r="C15" s="1" t="s">
        <v>287</v>
      </c>
      <c r="D15" s="1" t="s">
        <v>340</v>
      </c>
      <c r="E15" s="1"/>
      <c r="F15" s="1">
        <v>100</v>
      </c>
      <c r="H15" s="1">
        <v>0</v>
      </c>
      <c r="I15" s="1">
        <f t="shared" si="3"/>
        <v>0</v>
      </c>
      <c r="K15" s="1">
        <v>0</v>
      </c>
      <c r="L15" s="1">
        <f t="shared" si="0"/>
        <v>0</v>
      </c>
      <c r="N15" s="1">
        <v>0</v>
      </c>
      <c r="O15" s="1">
        <f t="shared" si="1"/>
        <v>0</v>
      </c>
      <c r="Q15" s="1">
        <v>1</v>
      </c>
      <c r="R15" s="1">
        <f t="shared" si="2"/>
        <v>100</v>
      </c>
    </row>
    <row r="16" spans="1:19" x14ac:dyDescent="0.25">
      <c r="A16" s="27"/>
      <c r="B16" s="31"/>
      <c r="C16" s="31"/>
      <c r="D16" s="1" t="s">
        <v>59</v>
      </c>
      <c r="E16" s="1"/>
      <c r="F16" s="1"/>
      <c r="H16" s="1"/>
      <c r="J16" s="1">
        <f>SUM(I8:I15)</f>
        <v>180</v>
      </c>
      <c r="K16" s="1"/>
      <c r="M16" s="1">
        <f>SUM(L8:L15)</f>
        <v>333</v>
      </c>
      <c r="N16" s="1"/>
      <c r="P16" s="1">
        <f>SUM(O8:O15)</f>
        <v>600</v>
      </c>
      <c r="Q16" s="1"/>
      <c r="S16" s="1">
        <f>SUM(R8:R15)</f>
        <v>1550</v>
      </c>
    </row>
    <row r="17" spans="1:18" x14ac:dyDescent="0.25">
      <c r="A17" s="14"/>
      <c r="B17" s="31"/>
      <c r="C17" s="31"/>
      <c r="D17" s="1"/>
      <c r="E17" s="1"/>
      <c r="F17" s="1"/>
      <c r="H17" s="1"/>
      <c r="I17" s="1"/>
      <c r="K17" s="1"/>
      <c r="L17" s="1"/>
      <c r="N17" s="1"/>
      <c r="O17" s="1"/>
      <c r="Q17" s="1"/>
      <c r="R17" s="1"/>
    </row>
    <row r="18" spans="1:18" x14ac:dyDescent="0.25">
      <c r="B18" s="31"/>
      <c r="C18" s="31"/>
      <c r="D18" s="7" t="s">
        <v>151</v>
      </c>
      <c r="E18" s="1"/>
      <c r="F18" s="1"/>
      <c r="H18" s="1"/>
      <c r="I18" s="1"/>
      <c r="J18" s="4"/>
      <c r="K18" s="1"/>
      <c r="L18" s="1">
        <f t="shared" ref="L18" si="4">K18*F18</f>
        <v>0</v>
      </c>
      <c r="N18" s="1"/>
      <c r="O18" s="1"/>
      <c r="Q18" s="1"/>
      <c r="R18" s="1"/>
    </row>
    <row r="19" spans="1:18" x14ac:dyDescent="0.25">
      <c r="B19" s="31" t="s">
        <v>467</v>
      </c>
      <c r="C19" s="31"/>
      <c r="D19" s="1" t="s">
        <v>271</v>
      </c>
      <c r="E19" s="1"/>
      <c r="F19" s="1">
        <v>20</v>
      </c>
      <c r="H19" s="1">
        <v>0</v>
      </c>
      <c r="I19" s="1">
        <v>4</v>
      </c>
      <c r="J19" s="4"/>
      <c r="K19" s="1">
        <v>0</v>
      </c>
      <c r="L19" s="1">
        <v>4</v>
      </c>
      <c r="N19" s="1">
        <v>1</v>
      </c>
      <c r="O19" s="1">
        <f t="shared" ref="O19" si="5">F19*N19</f>
        <v>20</v>
      </c>
      <c r="Q19" s="1">
        <v>0</v>
      </c>
      <c r="R19" s="1">
        <v>20</v>
      </c>
    </row>
    <row r="20" spans="1:18" x14ac:dyDescent="0.25">
      <c r="A20" s="27"/>
      <c r="B20" s="31" t="s">
        <v>468</v>
      </c>
      <c r="C20" s="31"/>
      <c r="D20" s="1" t="s">
        <v>428</v>
      </c>
      <c r="E20" s="1"/>
      <c r="F20" s="1"/>
      <c r="H20" s="1">
        <v>0</v>
      </c>
      <c r="I20" s="1">
        <f>J16*0.1</f>
        <v>18</v>
      </c>
      <c r="J20" s="4"/>
      <c r="K20" s="1"/>
      <c r="L20" s="1"/>
      <c r="N20" s="1"/>
      <c r="O20" s="1"/>
      <c r="Q20" s="1"/>
      <c r="R20" s="1"/>
    </row>
    <row r="21" spans="1:18" x14ac:dyDescent="0.25">
      <c r="B21" s="31" t="s">
        <v>469</v>
      </c>
      <c r="C21" s="31"/>
      <c r="D21" s="1" t="s">
        <v>429</v>
      </c>
      <c r="E21" s="1"/>
      <c r="F21" s="1"/>
      <c r="H21" s="1"/>
      <c r="I21" s="1"/>
      <c r="J21" s="4"/>
      <c r="K21" s="1">
        <v>0</v>
      </c>
      <c r="L21" s="1">
        <v>29.3</v>
      </c>
      <c r="N21" s="1"/>
      <c r="O21" s="1"/>
      <c r="Q21" s="1"/>
      <c r="R21" s="1"/>
    </row>
    <row r="22" spans="1:18" x14ac:dyDescent="0.25">
      <c r="B22" s="31" t="s">
        <v>470</v>
      </c>
      <c r="C22" s="31"/>
      <c r="D22" s="1" t="s">
        <v>430</v>
      </c>
      <c r="E22" s="1"/>
      <c r="F22" s="1"/>
      <c r="H22" s="1"/>
      <c r="I22" s="1"/>
      <c r="J22" s="4"/>
      <c r="K22" s="1"/>
      <c r="L22" s="1"/>
      <c r="N22" s="1">
        <v>0</v>
      </c>
      <c r="O22" s="1">
        <f>P16*0.1</f>
        <v>60</v>
      </c>
      <c r="Q22" s="1"/>
      <c r="R22" s="1"/>
    </row>
    <row r="23" spans="1:18" x14ac:dyDescent="0.25">
      <c r="B23" s="31" t="s">
        <v>471</v>
      </c>
      <c r="C23" s="31"/>
      <c r="D23" s="1" t="s">
        <v>431</v>
      </c>
      <c r="E23" s="1"/>
      <c r="F23" s="1"/>
      <c r="H23" s="1"/>
      <c r="I23" s="1"/>
      <c r="J23" s="4"/>
      <c r="K23" s="1"/>
      <c r="L23" s="1"/>
      <c r="N23" s="1"/>
      <c r="O23" s="1"/>
      <c r="Q23" s="1">
        <v>0</v>
      </c>
      <c r="R23" s="1">
        <f>S16*0.1</f>
        <v>155</v>
      </c>
    </row>
    <row r="24" spans="1:18" x14ac:dyDescent="0.25">
      <c r="B24" s="1"/>
      <c r="C24" s="1"/>
      <c r="D24" s="1"/>
      <c r="E24" s="1"/>
      <c r="F24" s="1"/>
      <c r="H24" s="1"/>
      <c r="I24" s="1"/>
      <c r="J24" s="4"/>
      <c r="K24" s="1"/>
      <c r="L24" s="1"/>
      <c r="N24" s="1"/>
      <c r="O24" s="1"/>
      <c r="Q24" s="1"/>
      <c r="R24" s="1"/>
    </row>
    <row r="25" spans="1:18" s="14" customFormat="1" x14ac:dyDescent="0.25">
      <c r="B25" s="7"/>
      <c r="C25" s="7"/>
      <c r="D25" s="7" t="s">
        <v>18</v>
      </c>
      <c r="E25" s="7"/>
      <c r="F25" s="7"/>
      <c r="H25" s="7"/>
      <c r="I25" s="7">
        <f>SUM(I8:I21)</f>
        <v>202</v>
      </c>
      <c r="J25" s="30"/>
      <c r="K25" s="7"/>
      <c r="L25" s="7">
        <f>SUM(L8:L21)</f>
        <v>366.3</v>
      </c>
      <c r="N25" s="7"/>
      <c r="O25" s="7">
        <f>SUM(O7:O21)</f>
        <v>620</v>
      </c>
      <c r="Q25" s="1"/>
      <c r="R25" s="7">
        <f>SUM(R7:R21)</f>
        <v>1570</v>
      </c>
    </row>
    <row r="26" spans="1:18" x14ac:dyDescent="0.25">
      <c r="A26" s="8"/>
      <c r="B26" s="9"/>
      <c r="C26" s="9"/>
      <c r="D26" s="1"/>
      <c r="E26" s="1"/>
      <c r="F26" s="1"/>
      <c r="H26" s="9"/>
      <c r="I26" s="9"/>
      <c r="J26" s="8"/>
      <c r="K26" s="9"/>
      <c r="L26" s="9"/>
      <c r="M26" s="8"/>
      <c r="N26" s="9"/>
      <c r="O26" s="1"/>
      <c r="Q26" s="9"/>
      <c r="R26" s="1"/>
    </row>
    <row r="29" spans="1:18" x14ac:dyDescent="0.25">
      <c r="A29" s="14" t="s">
        <v>183</v>
      </c>
      <c r="B29" s="14"/>
      <c r="C29" s="14"/>
      <c r="D29" s="14" t="s">
        <v>287</v>
      </c>
    </row>
    <row r="30" spans="1:18" x14ac:dyDescent="0.25">
      <c r="A30" s="14" t="s">
        <v>184</v>
      </c>
      <c r="B30" s="14"/>
      <c r="C30" s="14"/>
      <c r="D30" s="14"/>
    </row>
  </sheetData>
  <mergeCells count="4">
    <mergeCell ref="H4:I4"/>
    <mergeCell ref="K4:L4"/>
    <mergeCell ref="N4:O4"/>
    <mergeCell ref="Q4:R4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C275-5F03-4AC4-83C0-C24AAF402EE2}">
  <dimension ref="A1:AB32"/>
  <sheetViews>
    <sheetView topLeftCell="A4" workbookViewId="0">
      <selection activeCell="C11" sqref="C11"/>
    </sheetView>
  </sheetViews>
  <sheetFormatPr defaultRowHeight="15" x14ac:dyDescent="0.25"/>
  <cols>
    <col min="1" max="1" width="18.42578125" customWidth="1"/>
    <col min="2" max="2" width="14.140625" customWidth="1"/>
    <col min="3" max="3" width="15.85546875" customWidth="1"/>
    <col min="4" max="4" width="24.5703125" customWidth="1"/>
    <col min="5" max="5" width="29.140625" customWidth="1"/>
  </cols>
  <sheetData>
    <row r="1" spans="1:28" x14ac:dyDescent="0.25">
      <c r="A1" s="14" t="s">
        <v>198</v>
      </c>
      <c r="B1" s="14"/>
      <c r="C1" s="14"/>
      <c r="D1" s="14" t="s">
        <v>291</v>
      </c>
    </row>
    <row r="2" spans="1:28" x14ac:dyDescent="0.25">
      <c r="A2" s="14" t="s">
        <v>195</v>
      </c>
      <c r="B2" s="14"/>
      <c r="C2" s="14"/>
      <c r="D2" s="14" t="s">
        <v>333</v>
      </c>
      <c r="E2" t="s">
        <v>147</v>
      </c>
    </row>
    <row r="3" spans="1:28" x14ac:dyDescent="0.25">
      <c r="A3" s="14"/>
      <c r="B3" s="14"/>
      <c r="C3" s="14"/>
      <c r="D3" s="14"/>
    </row>
    <row r="4" spans="1:28" ht="15.75" thickBot="1" x14ac:dyDescent="0.3"/>
    <row r="5" spans="1:28" ht="15.75" thickBot="1" x14ac:dyDescent="0.3">
      <c r="A5" s="7" t="s">
        <v>343</v>
      </c>
      <c r="B5" s="14"/>
      <c r="C5" s="14"/>
      <c r="D5" s="28"/>
      <c r="E5" s="14" t="s">
        <v>159</v>
      </c>
      <c r="F5" s="29">
        <v>0.4</v>
      </c>
      <c r="H5" s="58" t="s">
        <v>0</v>
      </c>
      <c r="I5" s="59"/>
      <c r="K5" s="58" t="s">
        <v>347</v>
      </c>
      <c r="L5" s="59"/>
      <c r="N5" s="58" t="s">
        <v>348</v>
      </c>
      <c r="O5" s="59"/>
      <c r="Q5" s="58" t="s">
        <v>349</v>
      </c>
      <c r="R5" s="59"/>
      <c r="T5" s="58" t="s">
        <v>350</v>
      </c>
      <c r="U5" s="59"/>
      <c r="W5" s="58" t="s">
        <v>352</v>
      </c>
      <c r="X5" s="59"/>
      <c r="Z5" s="58" t="s">
        <v>352</v>
      </c>
      <c r="AA5" s="59"/>
    </row>
    <row r="6" spans="1:28" x14ac:dyDescent="0.25">
      <c r="B6" s="7" t="s">
        <v>331</v>
      </c>
      <c r="C6" s="7" t="s">
        <v>527</v>
      </c>
      <c r="D6" s="7" t="s">
        <v>158</v>
      </c>
      <c r="E6" s="7" t="s">
        <v>153</v>
      </c>
      <c r="F6" s="7" t="s">
        <v>3</v>
      </c>
      <c r="H6" s="15" t="s">
        <v>4</v>
      </c>
      <c r="I6" s="15" t="s">
        <v>5</v>
      </c>
      <c r="K6" s="15" t="s">
        <v>4</v>
      </c>
      <c r="L6" s="15" t="s">
        <v>5</v>
      </c>
      <c r="N6" s="15" t="s">
        <v>4</v>
      </c>
      <c r="O6" s="15" t="s">
        <v>5</v>
      </c>
      <c r="Q6" s="15" t="s">
        <v>4</v>
      </c>
      <c r="R6" s="15" t="s">
        <v>5</v>
      </c>
      <c r="T6" s="15" t="s">
        <v>4</v>
      </c>
      <c r="U6" s="15" t="s">
        <v>5</v>
      </c>
      <c r="W6" s="15" t="s">
        <v>4</v>
      </c>
      <c r="X6" s="15" t="s">
        <v>5</v>
      </c>
      <c r="Z6" s="15" t="s">
        <v>4</v>
      </c>
      <c r="AA6" s="15" t="s">
        <v>5</v>
      </c>
    </row>
    <row r="7" spans="1:28" x14ac:dyDescent="0.25">
      <c r="B7" s="1"/>
      <c r="C7" s="1"/>
      <c r="D7" s="7"/>
      <c r="E7" s="7"/>
      <c r="F7" s="7"/>
      <c r="H7" s="15"/>
      <c r="I7" s="15"/>
      <c r="K7" s="15"/>
      <c r="L7" s="15"/>
      <c r="N7" s="15"/>
      <c r="O7" s="15"/>
      <c r="Q7" s="15"/>
      <c r="R7" s="15"/>
      <c r="T7" s="15"/>
      <c r="U7" s="15"/>
      <c r="W7" s="15"/>
      <c r="X7" s="15"/>
      <c r="Z7" s="15"/>
      <c r="AA7" s="15"/>
    </row>
    <row r="8" spans="1:28" x14ac:dyDescent="0.25">
      <c r="A8" s="27">
        <v>666</v>
      </c>
      <c r="B8" s="31"/>
      <c r="C8" s="31"/>
      <c r="D8" s="7" t="s">
        <v>344</v>
      </c>
      <c r="E8" s="1"/>
      <c r="F8" s="1">
        <v>4</v>
      </c>
      <c r="H8" s="1">
        <v>40</v>
      </c>
      <c r="I8" s="1">
        <f>H8*F8</f>
        <v>160</v>
      </c>
      <c r="K8" s="1">
        <v>0</v>
      </c>
      <c r="L8" s="1">
        <f>K8*F8</f>
        <v>0</v>
      </c>
      <c r="N8" s="1">
        <v>75</v>
      </c>
      <c r="O8" s="1">
        <f>N8*F8</f>
        <v>300</v>
      </c>
      <c r="Q8" s="1">
        <v>145</v>
      </c>
      <c r="R8" s="1">
        <f>Q8*F8</f>
        <v>580</v>
      </c>
      <c r="T8" s="1">
        <v>0</v>
      </c>
      <c r="U8" s="1">
        <f>T8*F8</f>
        <v>0</v>
      </c>
      <c r="W8" s="1">
        <v>0</v>
      </c>
      <c r="X8" s="1">
        <f>W8*F8</f>
        <v>0</v>
      </c>
      <c r="Z8" s="1">
        <v>50</v>
      </c>
      <c r="AA8" s="1">
        <f>Z8*F8</f>
        <v>200</v>
      </c>
    </row>
    <row r="9" spans="1:28" x14ac:dyDescent="0.25">
      <c r="A9" s="27"/>
      <c r="B9" s="31" t="s">
        <v>472</v>
      </c>
      <c r="C9" s="31"/>
      <c r="D9" s="1" t="s">
        <v>345</v>
      </c>
      <c r="E9" s="1"/>
      <c r="F9" s="1">
        <v>12</v>
      </c>
      <c r="H9" s="1">
        <v>0</v>
      </c>
      <c r="I9" s="1">
        <f t="shared" ref="I9:I15" si="0">H9*F9</f>
        <v>0</v>
      </c>
      <c r="K9" s="1">
        <v>18</v>
      </c>
      <c r="L9" s="1">
        <f t="shared" ref="L9:L15" si="1">K9*F9</f>
        <v>216</v>
      </c>
      <c r="N9" s="1">
        <v>0</v>
      </c>
      <c r="O9" s="1">
        <f t="shared" ref="O9:O15" si="2">N9*F9</f>
        <v>0</v>
      </c>
      <c r="Q9" s="1">
        <v>0</v>
      </c>
      <c r="R9" s="1">
        <f t="shared" ref="R9:R15" si="3">Q9*F9</f>
        <v>0</v>
      </c>
      <c r="T9" s="1">
        <v>35</v>
      </c>
      <c r="U9" s="1">
        <f t="shared" ref="U9:U15" si="4">T9*F9</f>
        <v>420</v>
      </c>
      <c r="W9" s="1">
        <v>0</v>
      </c>
      <c r="X9" s="1">
        <f t="shared" ref="X9:X15" si="5">W9*F9</f>
        <v>0</v>
      </c>
      <c r="Z9" s="1">
        <v>6</v>
      </c>
      <c r="AA9" s="1">
        <f t="shared" ref="AA9:AA15" si="6">Z9*F9</f>
        <v>72</v>
      </c>
    </row>
    <row r="10" spans="1:28" x14ac:dyDescent="0.25">
      <c r="A10" s="27" t="s">
        <v>147</v>
      </c>
      <c r="B10" s="31" t="s">
        <v>473</v>
      </c>
      <c r="C10" s="31"/>
      <c r="D10" s="1" t="s">
        <v>346</v>
      </c>
      <c r="E10" s="1" t="s">
        <v>357</v>
      </c>
      <c r="F10" s="1">
        <v>45</v>
      </c>
      <c r="H10" s="1">
        <v>0</v>
      </c>
      <c r="I10" s="1">
        <f t="shared" si="0"/>
        <v>0</v>
      </c>
      <c r="K10" s="1">
        <v>2</v>
      </c>
      <c r="L10" s="1">
        <f t="shared" si="1"/>
        <v>90</v>
      </c>
      <c r="N10" s="1">
        <v>0</v>
      </c>
      <c r="O10" s="1">
        <f t="shared" si="2"/>
        <v>0</v>
      </c>
      <c r="Q10" s="1">
        <v>0</v>
      </c>
      <c r="R10" s="1">
        <f t="shared" si="3"/>
        <v>0</v>
      </c>
      <c r="T10" s="1">
        <v>3</v>
      </c>
      <c r="U10" s="1">
        <f t="shared" si="4"/>
        <v>135</v>
      </c>
      <c r="W10" s="1">
        <v>0</v>
      </c>
      <c r="X10" s="1">
        <f t="shared" si="5"/>
        <v>0</v>
      </c>
      <c r="Z10" s="1">
        <v>2</v>
      </c>
      <c r="AA10" s="1">
        <f t="shared" si="6"/>
        <v>90</v>
      </c>
    </row>
    <row r="11" spans="1:28" x14ac:dyDescent="0.25">
      <c r="A11" s="27"/>
      <c r="B11" s="31" t="s">
        <v>474</v>
      </c>
      <c r="C11" s="31"/>
      <c r="D11" s="1" t="s">
        <v>351</v>
      </c>
      <c r="E11" s="1"/>
      <c r="F11" s="1">
        <v>30</v>
      </c>
      <c r="H11" s="1">
        <v>0</v>
      </c>
      <c r="I11" s="1">
        <f t="shared" si="0"/>
        <v>0</v>
      </c>
      <c r="K11" s="1">
        <v>0</v>
      </c>
      <c r="L11" s="1">
        <f t="shared" si="1"/>
        <v>0</v>
      </c>
      <c r="N11" s="1">
        <v>0</v>
      </c>
      <c r="O11" s="1">
        <f t="shared" si="2"/>
        <v>0</v>
      </c>
      <c r="Q11" s="1">
        <v>0</v>
      </c>
      <c r="R11" s="1">
        <f t="shared" si="3"/>
        <v>0</v>
      </c>
      <c r="T11" s="1">
        <v>1</v>
      </c>
      <c r="U11" s="1">
        <f t="shared" si="4"/>
        <v>30</v>
      </c>
      <c r="W11" s="1">
        <v>0</v>
      </c>
      <c r="X11" s="1">
        <f t="shared" si="5"/>
        <v>0</v>
      </c>
      <c r="Z11" s="1">
        <v>0</v>
      </c>
      <c r="AA11" s="1">
        <f t="shared" si="6"/>
        <v>0</v>
      </c>
    </row>
    <row r="12" spans="1:28" x14ac:dyDescent="0.25">
      <c r="A12" s="27"/>
      <c r="B12" s="31" t="s">
        <v>475</v>
      </c>
      <c r="C12" s="31"/>
      <c r="D12" s="1" t="s">
        <v>356</v>
      </c>
      <c r="E12" s="1"/>
      <c r="F12" s="1">
        <v>45</v>
      </c>
      <c r="H12" s="1"/>
      <c r="I12" s="1">
        <f t="shared" si="0"/>
        <v>0</v>
      </c>
      <c r="K12" s="1"/>
      <c r="L12" s="1">
        <f t="shared" si="1"/>
        <v>0</v>
      </c>
      <c r="N12" s="1"/>
      <c r="O12" s="1">
        <f t="shared" si="2"/>
        <v>0</v>
      </c>
      <c r="Q12" s="1"/>
      <c r="R12" s="1">
        <f t="shared" si="3"/>
        <v>0</v>
      </c>
      <c r="T12" s="1"/>
      <c r="U12" s="1">
        <f t="shared" si="4"/>
        <v>0</v>
      </c>
      <c r="W12" s="1"/>
      <c r="X12" s="1">
        <f t="shared" si="5"/>
        <v>0</v>
      </c>
      <c r="Z12" s="1">
        <v>5</v>
      </c>
      <c r="AA12" s="1">
        <f t="shared" si="6"/>
        <v>225</v>
      </c>
    </row>
    <row r="13" spans="1:28" x14ac:dyDescent="0.25">
      <c r="A13" s="27"/>
      <c r="B13" s="31" t="s">
        <v>476</v>
      </c>
      <c r="C13" s="31"/>
      <c r="D13" s="1" t="s">
        <v>355</v>
      </c>
      <c r="E13" s="1" t="s">
        <v>353</v>
      </c>
      <c r="F13" s="1">
        <v>1800</v>
      </c>
      <c r="H13" s="1">
        <v>0</v>
      </c>
      <c r="I13" s="1">
        <f t="shared" si="0"/>
        <v>0</v>
      </c>
      <c r="K13" s="1">
        <v>0</v>
      </c>
      <c r="L13" s="1">
        <f t="shared" si="1"/>
        <v>0</v>
      </c>
      <c r="N13" s="1">
        <v>0</v>
      </c>
      <c r="O13" s="1">
        <f t="shared" si="2"/>
        <v>0</v>
      </c>
      <c r="Q13" s="1">
        <v>0</v>
      </c>
      <c r="R13" s="1">
        <f t="shared" si="3"/>
        <v>0</v>
      </c>
      <c r="T13" s="1">
        <v>0</v>
      </c>
      <c r="U13" s="1">
        <f t="shared" si="4"/>
        <v>0</v>
      </c>
      <c r="W13" s="1">
        <v>1</v>
      </c>
      <c r="X13" s="1">
        <f t="shared" si="5"/>
        <v>1800</v>
      </c>
      <c r="Z13" s="1">
        <v>0</v>
      </c>
      <c r="AA13" s="1">
        <f t="shared" si="6"/>
        <v>0</v>
      </c>
    </row>
    <row r="14" spans="1:28" x14ac:dyDescent="0.25">
      <c r="A14" s="27"/>
      <c r="B14" s="31" t="s">
        <v>477</v>
      </c>
      <c r="C14" s="31"/>
      <c r="D14" s="1" t="s">
        <v>355</v>
      </c>
      <c r="E14" s="1" t="s">
        <v>354</v>
      </c>
      <c r="F14" s="1">
        <v>1000</v>
      </c>
      <c r="H14" s="1">
        <v>0</v>
      </c>
      <c r="I14" s="1">
        <f t="shared" si="0"/>
        <v>0</v>
      </c>
      <c r="K14" s="1">
        <v>0</v>
      </c>
      <c r="L14" s="1">
        <f t="shared" si="1"/>
        <v>0</v>
      </c>
      <c r="N14" s="1">
        <v>0</v>
      </c>
      <c r="O14" s="1">
        <f t="shared" si="2"/>
        <v>0</v>
      </c>
      <c r="Q14" s="1">
        <v>0</v>
      </c>
      <c r="R14" s="1">
        <f t="shared" si="3"/>
        <v>0</v>
      </c>
      <c r="T14" s="1">
        <v>0</v>
      </c>
      <c r="U14" s="1">
        <f t="shared" si="4"/>
        <v>0</v>
      </c>
      <c r="W14" s="1">
        <v>0</v>
      </c>
      <c r="X14" s="1">
        <f t="shared" si="5"/>
        <v>0</v>
      </c>
      <c r="Z14" s="1">
        <v>1</v>
      </c>
      <c r="AA14" s="1">
        <f t="shared" si="6"/>
        <v>1000</v>
      </c>
    </row>
    <row r="15" spans="1:28" x14ac:dyDescent="0.25">
      <c r="A15" s="27"/>
      <c r="B15" s="31" t="s">
        <v>478</v>
      </c>
      <c r="C15" s="31"/>
      <c r="D15" s="1" t="s">
        <v>358</v>
      </c>
      <c r="E15" s="1"/>
      <c r="F15" s="1">
        <v>200</v>
      </c>
      <c r="H15" s="1">
        <v>0</v>
      </c>
      <c r="I15" s="1">
        <f t="shared" si="0"/>
        <v>0</v>
      </c>
      <c r="K15" s="1">
        <v>0</v>
      </c>
      <c r="L15" s="1">
        <f t="shared" si="1"/>
        <v>0</v>
      </c>
      <c r="N15" s="1">
        <v>0</v>
      </c>
      <c r="O15" s="1">
        <f t="shared" si="2"/>
        <v>0</v>
      </c>
      <c r="Q15" s="1">
        <v>0</v>
      </c>
      <c r="R15" s="1">
        <f t="shared" si="3"/>
        <v>0</v>
      </c>
      <c r="T15" s="1">
        <v>0</v>
      </c>
      <c r="U15" s="1">
        <f t="shared" si="4"/>
        <v>0</v>
      </c>
      <c r="W15" s="1">
        <v>0</v>
      </c>
      <c r="X15" s="1">
        <f t="shared" si="5"/>
        <v>0</v>
      </c>
      <c r="Z15" s="1">
        <v>1</v>
      </c>
      <c r="AA15" s="1">
        <f t="shared" si="6"/>
        <v>200</v>
      </c>
    </row>
    <row r="16" spans="1:28" x14ac:dyDescent="0.25">
      <c r="A16" s="27"/>
      <c r="B16" s="31"/>
      <c r="C16" s="31"/>
      <c r="D16" s="1" t="s">
        <v>59</v>
      </c>
      <c r="E16" s="1"/>
      <c r="F16" s="1"/>
      <c r="H16" s="1"/>
      <c r="J16" s="1">
        <f>SUM(I8:I15)</f>
        <v>160</v>
      </c>
      <c r="K16" s="1"/>
      <c r="M16" s="1">
        <f>SUM(L8:L15)</f>
        <v>306</v>
      </c>
      <c r="N16" s="1"/>
      <c r="P16" s="1">
        <f>SUM(O8:O15)</f>
        <v>300</v>
      </c>
      <c r="Q16" s="1"/>
      <c r="S16" s="1">
        <f>SUM(R8:R15)</f>
        <v>580</v>
      </c>
      <c r="T16" s="1"/>
      <c r="U16" s="1"/>
      <c r="V16">
        <f>SUM(U8:U16)</f>
        <v>585</v>
      </c>
      <c r="W16" s="1"/>
      <c r="Y16" s="1">
        <f>SUM(X8:X15)</f>
        <v>1800</v>
      </c>
      <c r="Z16" s="1"/>
      <c r="AB16" s="1">
        <f>SUM(AA8:AA15)</f>
        <v>1787</v>
      </c>
    </row>
    <row r="17" spans="1:27" x14ac:dyDescent="0.25">
      <c r="A17" s="27"/>
      <c r="B17" s="31"/>
      <c r="C17" s="31"/>
      <c r="D17" s="7"/>
      <c r="E17" s="1"/>
      <c r="F17" s="1"/>
      <c r="H17" s="1"/>
      <c r="I17" s="1"/>
      <c r="K17" s="1"/>
      <c r="L17" s="1"/>
      <c r="N17" s="1"/>
      <c r="O17" s="1"/>
      <c r="Q17" s="1"/>
      <c r="R17" s="1"/>
      <c r="T17" s="1"/>
      <c r="U17" s="1"/>
      <c r="W17" s="1"/>
      <c r="X17" s="1"/>
      <c r="Z17" s="1"/>
      <c r="AA17" s="1"/>
    </row>
    <row r="18" spans="1:27" x14ac:dyDescent="0.25">
      <c r="A18" s="27"/>
      <c r="B18" s="31"/>
      <c r="C18" s="31"/>
      <c r="D18" s="1"/>
      <c r="E18" s="1"/>
      <c r="F18" s="1"/>
      <c r="H18" s="1"/>
      <c r="I18" s="1"/>
      <c r="K18" s="1"/>
      <c r="L18" s="1"/>
      <c r="N18" s="1"/>
      <c r="O18" s="1"/>
      <c r="Q18" s="1"/>
      <c r="R18" s="1"/>
      <c r="T18" s="1"/>
      <c r="U18" s="1"/>
      <c r="W18" s="1"/>
      <c r="X18" s="1"/>
      <c r="Z18" s="1"/>
      <c r="AA18" s="1"/>
    </row>
    <row r="19" spans="1:27" x14ac:dyDescent="0.25">
      <c r="A19" s="27"/>
      <c r="B19" s="31"/>
      <c r="C19" s="31"/>
      <c r="D19" s="7"/>
      <c r="E19" s="1"/>
      <c r="F19" s="1"/>
      <c r="H19" s="1"/>
      <c r="I19" s="1"/>
      <c r="J19" s="4"/>
      <c r="K19" s="1"/>
      <c r="L19" s="1"/>
      <c r="N19" s="1"/>
      <c r="O19" s="1"/>
      <c r="Q19" s="1"/>
      <c r="R19" s="1"/>
      <c r="T19" s="1"/>
      <c r="U19" s="1"/>
      <c r="W19" s="1"/>
      <c r="X19" s="1"/>
      <c r="Z19" s="1"/>
      <c r="AA19" s="1"/>
    </row>
    <row r="20" spans="1:27" x14ac:dyDescent="0.25">
      <c r="A20" s="27"/>
      <c r="B20" s="31"/>
      <c r="C20" s="31"/>
      <c r="D20" s="7" t="s">
        <v>151</v>
      </c>
      <c r="E20" s="1"/>
      <c r="F20" s="1"/>
      <c r="H20" s="1"/>
      <c r="I20" s="1"/>
      <c r="J20" s="4"/>
      <c r="K20" s="1"/>
      <c r="L20" s="1"/>
      <c r="N20" s="1"/>
      <c r="O20" s="1"/>
      <c r="Q20" s="1"/>
      <c r="R20" s="1"/>
      <c r="T20" s="1"/>
      <c r="U20" s="1"/>
      <c r="W20" s="1"/>
      <c r="X20" s="1"/>
      <c r="Z20" s="1"/>
      <c r="AA20" s="1"/>
    </row>
    <row r="21" spans="1:27" x14ac:dyDescent="0.25">
      <c r="A21" s="27"/>
      <c r="B21" s="1" t="s">
        <v>479</v>
      </c>
      <c r="C21" s="1"/>
      <c r="D21" s="1" t="s">
        <v>271</v>
      </c>
      <c r="E21" s="1"/>
      <c r="F21" s="1"/>
      <c r="H21" s="1">
        <v>1</v>
      </c>
      <c r="I21" s="1">
        <v>20</v>
      </c>
      <c r="J21" s="4"/>
      <c r="K21" s="1">
        <v>1</v>
      </c>
      <c r="L21" s="1">
        <v>20</v>
      </c>
      <c r="N21" s="1">
        <v>1</v>
      </c>
      <c r="O21" s="1">
        <v>20</v>
      </c>
      <c r="Q21" s="1"/>
      <c r="R21" s="1">
        <v>20</v>
      </c>
      <c r="T21" s="1"/>
      <c r="U21" s="1">
        <v>20</v>
      </c>
      <c r="W21" s="1"/>
      <c r="X21" s="1">
        <v>20</v>
      </c>
      <c r="Z21" s="1"/>
      <c r="AA21" s="1">
        <v>20</v>
      </c>
    </row>
    <row r="22" spans="1:27" x14ac:dyDescent="0.25">
      <c r="B22" s="1" t="s">
        <v>480</v>
      </c>
      <c r="C22" s="1"/>
      <c r="D22" s="1" t="s">
        <v>428</v>
      </c>
      <c r="E22" s="1"/>
      <c r="F22" s="1"/>
      <c r="H22" s="1">
        <v>1</v>
      </c>
      <c r="I22" s="1">
        <f>J16*0.1</f>
        <v>16</v>
      </c>
      <c r="J22" s="4"/>
      <c r="K22" s="1"/>
      <c r="L22" s="1"/>
      <c r="N22" s="1"/>
      <c r="O22" s="1"/>
      <c r="Q22" s="1"/>
      <c r="R22" s="1"/>
      <c r="T22" s="1"/>
      <c r="U22" s="1"/>
      <c r="W22" s="1"/>
      <c r="X22" s="1">
        <v>180</v>
      </c>
      <c r="Z22" s="1"/>
      <c r="AA22" s="1">
        <v>178</v>
      </c>
    </row>
    <row r="23" spans="1:27" x14ac:dyDescent="0.25">
      <c r="B23" s="1" t="s">
        <v>481</v>
      </c>
      <c r="C23" s="1"/>
      <c r="D23" s="1" t="s">
        <v>429</v>
      </c>
      <c r="E23" s="1"/>
      <c r="F23" s="1"/>
      <c r="H23" s="1"/>
      <c r="I23" s="1"/>
      <c r="J23" s="4"/>
      <c r="K23" s="1">
        <v>1</v>
      </c>
      <c r="L23" s="1">
        <f>M16*0.1</f>
        <v>30.6</v>
      </c>
      <c r="N23" s="1">
        <v>1</v>
      </c>
      <c r="O23" s="1">
        <f>P16*0.1</f>
        <v>30</v>
      </c>
      <c r="Q23" s="1"/>
      <c r="R23" s="1"/>
      <c r="T23" s="1"/>
      <c r="U23" s="1"/>
      <c r="W23" s="1"/>
      <c r="X23" s="1"/>
      <c r="Z23" s="1"/>
      <c r="AA23" s="1"/>
    </row>
    <row r="24" spans="1:27" x14ac:dyDescent="0.25">
      <c r="B24" s="1" t="s">
        <v>482</v>
      </c>
      <c r="C24" s="1"/>
      <c r="D24" s="1" t="s">
        <v>430</v>
      </c>
      <c r="E24" s="1"/>
      <c r="F24" s="1"/>
      <c r="H24" s="1"/>
      <c r="I24" s="1"/>
      <c r="J24" s="4"/>
      <c r="K24" s="1"/>
      <c r="L24" s="1"/>
      <c r="N24" s="1"/>
      <c r="O24" s="1"/>
      <c r="Q24" s="1">
        <v>1</v>
      </c>
      <c r="R24" s="1">
        <f>S16*0.1</f>
        <v>58</v>
      </c>
      <c r="T24" s="1">
        <v>1</v>
      </c>
      <c r="U24" s="1">
        <f>V16*0.1</f>
        <v>58.5</v>
      </c>
      <c r="W24" s="1"/>
      <c r="X24" s="1"/>
      <c r="Z24" s="1"/>
      <c r="AA24" s="1"/>
    </row>
    <row r="25" spans="1:27" x14ac:dyDescent="0.25">
      <c r="B25" s="1" t="s">
        <v>483</v>
      </c>
      <c r="C25" s="1"/>
      <c r="D25" s="1" t="s">
        <v>431</v>
      </c>
      <c r="E25" s="1"/>
      <c r="F25" s="1"/>
      <c r="H25" s="1"/>
      <c r="I25" s="1"/>
      <c r="J25" s="4"/>
      <c r="K25" s="1"/>
      <c r="L25" s="1"/>
      <c r="N25" s="1"/>
      <c r="O25" s="1"/>
      <c r="Q25" s="1"/>
      <c r="R25" s="1"/>
      <c r="T25" s="1"/>
      <c r="U25" s="1"/>
      <c r="W25" s="1">
        <v>1</v>
      </c>
      <c r="X25" s="1">
        <f>Y16*0.1</f>
        <v>180</v>
      </c>
      <c r="Z25" s="1">
        <v>1</v>
      </c>
      <c r="AA25" s="1">
        <f>AB16*0.1</f>
        <v>178.70000000000002</v>
      </c>
    </row>
    <row r="26" spans="1:27" x14ac:dyDescent="0.25">
      <c r="B26" s="1"/>
      <c r="C26" s="1"/>
      <c r="D26" s="1"/>
      <c r="E26" s="1"/>
      <c r="F26" s="1"/>
      <c r="H26" s="1"/>
      <c r="I26" s="1"/>
      <c r="J26" s="4"/>
      <c r="K26" s="1"/>
      <c r="L26" s="1"/>
      <c r="N26" s="1"/>
      <c r="O26" s="1"/>
      <c r="Q26" s="1"/>
      <c r="R26" s="1"/>
      <c r="T26" s="1"/>
      <c r="U26" s="1"/>
      <c r="X26" s="1"/>
      <c r="Z26" s="1"/>
      <c r="AA26" s="1"/>
    </row>
    <row r="27" spans="1:27" x14ac:dyDescent="0.25">
      <c r="B27" s="1"/>
      <c r="C27" s="1"/>
      <c r="D27" s="1"/>
      <c r="E27" s="1"/>
      <c r="F27" s="1"/>
      <c r="H27" s="1"/>
      <c r="I27" s="1"/>
      <c r="J27" s="4"/>
      <c r="K27" s="1"/>
      <c r="L27" s="1"/>
      <c r="N27" s="1"/>
      <c r="O27" s="1"/>
      <c r="Q27" s="1"/>
      <c r="R27" s="1"/>
      <c r="T27" s="1"/>
      <c r="U27" s="1"/>
      <c r="W27" s="1"/>
      <c r="X27" s="1"/>
      <c r="Z27" s="1"/>
      <c r="AA27" s="1"/>
    </row>
    <row r="28" spans="1:27" s="14" customFormat="1" x14ac:dyDescent="0.25">
      <c r="B28" s="7"/>
      <c r="C28" s="7"/>
      <c r="D28" s="7" t="s">
        <v>59</v>
      </c>
      <c r="E28" s="7"/>
      <c r="F28" s="7"/>
      <c r="H28" s="7"/>
      <c r="I28" s="7">
        <f>SUM(I8:I22)</f>
        <v>196</v>
      </c>
      <c r="J28" s="30"/>
      <c r="K28" s="7"/>
      <c r="L28" s="7">
        <f>SUM(L8:L22)</f>
        <v>326</v>
      </c>
      <c r="N28" s="7"/>
      <c r="O28" s="7">
        <f>SUM(O8:O25)</f>
        <v>350</v>
      </c>
      <c r="Q28" s="7"/>
      <c r="R28" s="7">
        <f>SUM(R8:R25)</f>
        <v>658</v>
      </c>
      <c r="T28" s="7"/>
      <c r="U28" s="7">
        <f>SUM(U8:U25)</f>
        <v>663.5</v>
      </c>
      <c r="W28" s="7"/>
      <c r="X28" s="7">
        <f>SUM(X8:X25)</f>
        <v>2180</v>
      </c>
      <c r="Z28" s="7"/>
      <c r="AA28" s="7">
        <f>SUM(AA8:AA25)</f>
        <v>2163.6999999999998</v>
      </c>
    </row>
    <row r="29" spans="1:27" x14ac:dyDescent="0.25">
      <c r="A29" s="8"/>
      <c r="B29" s="9"/>
      <c r="C29" s="9"/>
      <c r="D29" s="1"/>
      <c r="E29" s="1"/>
      <c r="F29" s="1"/>
      <c r="H29" s="9"/>
      <c r="I29" s="9"/>
      <c r="J29" s="8"/>
      <c r="K29" s="9"/>
      <c r="L29" s="9"/>
      <c r="M29" s="8"/>
      <c r="N29" s="9"/>
      <c r="O29" s="1"/>
      <c r="Q29" s="9"/>
      <c r="R29" s="1"/>
      <c r="T29" s="9"/>
      <c r="U29" s="1"/>
      <c r="W29" s="9"/>
      <c r="X29" s="1"/>
      <c r="Z29" s="9"/>
      <c r="AA29" s="1"/>
    </row>
    <row r="32" spans="1:27" x14ac:dyDescent="0.25">
      <c r="A32" s="14" t="s">
        <v>183</v>
      </c>
      <c r="B32" s="14"/>
      <c r="C32" s="14"/>
      <c r="D32" s="14" t="s">
        <v>287</v>
      </c>
    </row>
  </sheetData>
  <mergeCells count="7">
    <mergeCell ref="Z5:AA5"/>
    <mergeCell ref="H5:I5"/>
    <mergeCell ref="K5:L5"/>
    <mergeCell ref="N5:O5"/>
    <mergeCell ref="Q5:R5"/>
    <mergeCell ref="T5:U5"/>
    <mergeCell ref="W5:X5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1E4F-750A-48C4-AA84-4463A9678BF7}">
  <dimension ref="A1:U26"/>
  <sheetViews>
    <sheetView workbookViewId="0">
      <selection activeCell="B7" sqref="B7:B18"/>
    </sheetView>
  </sheetViews>
  <sheetFormatPr defaultRowHeight="15" x14ac:dyDescent="0.25"/>
  <cols>
    <col min="1" max="1" width="16.85546875" customWidth="1"/>
    <col min="2" max="2" width="11" customWidth="1"/>
    <col min="3" max="3" width="15.85546875" customWidth="1"/>
    <col min="4" max="4" width="23.85546875" customWidth="1"/>
    <col min="5" max="5" width="39" customWidth="1"/>
    <col min="6" max="6" width="8.85546875" customWidth="1"/>
    <col min="7" max="7" width="6.28515625" customWidth="1"/>
    <col min="10" max="10" width="6.42578125" customWidth="1"/>
    <col min="13" max="13" width="6.5703125" customWidth="1"/>
    <col min="16" max="16" width="6.5703125" customWidth="1"/>
  </cols>
  <sheetData>
    <row r="1" spans="1:21" x14ac:dyDescent="0.25">
      <c r="A1" s="14" t="s">
        <v>198</v>
      </c>
      <c r="B1" s="14"/>
      <c r="C1" s="14"/>
      <c r="D1" s="14" t="s">
        <v>359</v>
      </c>
    </row>
    <row r="2" spans="1:21" x14ac:dyDescent="0.25">
      <c r="A2" s="14" t="s">
        <v>195</v>
      </c>
      <c r="B2" s="14"/>
      <c r="C2" s="14"/>
      <c r="D2" s="14" t="s">
        <v>360</v>
      </c>
      <c r="E2" t="s">
        <v>147</v>
      </c>
    </row>
    <row r="3" spans="1:21" ht="15.75" thickBot="1" x14ac:dyDescent="0.3"/>
    <row r="4" spans="1:21" ht="15.75" thickBot="1" x14ac:dyDescent="0.3">
      <c r="A4" s="7" t="s">
        <v>361</v>
      </c>
      <c r="B4" s="14"/>
      <c r="C4" s="14"/>
      <c r="D4" s="28"/>
      <c r="E4" s="14" t="s">
        <v>159</v>
      </c>
      <c r="F4" s="29">
        <v>0.4</v>
      </c>
      <c r="H4" s="58" t="s">
        <v>0</v>
      </c>
      <c r="I4" s="59"/>
      <c r="K4" s="58" t="s">
        <v>1</v>
      </c>
      <c r="L4" s="59"/>
      <c r="N4" s="58" t="s">
        <v>20</v>
      </c>
      <c r="O4" s="59"/>
      <c r="Q4" s="58" t="s">
        <v>516</v>
      </c>
      <c r="R4" s="59"/>
      <c r="T4" s="58" t="s">
        <v>517</v>
      </c>
      <c r="U4" s="59"/>
    </row>
    <row r="5" spans="1:21" x14ac:dyDescent="0.25">
      <c r="B5" s="7" t="s">
        <v>331</v>
      </c>
      <c r="C5" s="7" t="s">
        <v>527</v>
      </c>
      <c r="D5" s="7" t="s">
        <v>158</v>
      </c>
      <c r="E5" s="7" t="s">
        <v>153</v>
      </c>
      <c r="F5" s="7" t="s">
        <v>3</v>
      </c>
      <c r="H5" s="15" t="s">
        <v>4</v>
      </c>
      <c r="I5" s="15" t="s">
        <v>5</v>
      </c>
      <c r="K5" s="15" t="s">
        <v>4</v>
      </c>
      <c r="L5" s="15" t="s">
        <v>5</v>
      </c>
      <c r="N5" s="15" t="s">
        <v>4</v>
      </c>
      <c r="O5" s="15" t="s">
        <v>5</v>
      </c>
      <c r="Q5" s="15" t="s">
        <v>4</v>
      </c>
      <c r="R5" s="15" t="s">
        <v>5</v>
      </c>
      <c r="T5" s="15" t="s">
        <v>4</v>
      </c>
      <c r="U5" s="15" t="s">
        <v>5</v>
      </c>
    </row>
    <row r="6" spans="1:21" x14ac:dyDescent="0.25">
      <c r="B6" s="1"/>
      <c r="C6" s="1"/>
      <c r="D6" s="7"/>
      <c r="E6" s="7"/>
      <c r="F6" s="7"/>
      <c r="H6" s="15"/>
      <c r="I6" s="15"/>
      <c r="K6" s="15"/>
      <c r="L6" s="15"/>
      <c r="N6" s="15"/>
      <c r="O6" s="15"/>
      <c r="Q6" s="15"/>
      <c r="R6" s="15"/>
      <c r="T6" s="15"/>
      <c r="U6" s="15"/>
    </row>
    <row r="7" spans="1:21" x14ac:dyDescent="0.25">
      <c r="A7" s="27"/>
      <c r="B7" s="31" t="s">
        <v>484</v>
      </c>
      <c r="C7" s="31"/>
      <c r="D7" s="1" t="s">
        <v>362</v>
      </c>
      <c r="E7" s="1" t="s">
        <v>363</v>
      </c>
      <c r="F7" s="1">
        <v>73</v>
      </c>
      <c r="H7" s="1">
        <v>0</v>
      </c>
      <c r="I7" s="1">
        <f>H7*F7</f>
        <v>0</v>
      </c>
      <c r="K7" s="1">
        <v>0</v>
      </c>
      <c r="L7" s="1">
        <f>K7*F7</f>
        <v>0</v>
      </c>
      <c r="N7" s="1">
        <v>0</v>
      </c>
      <c r="O7" s="1">
        <f>N7*F7</f>
        <v>0</v>
      </c>
      <c r="Q7" s="1">
        <v>0</v>
      </c>
      <c r="R7" s="1">
        <f>Q7*F7</f>
        <v>0</v>
      </c>
      <c r="T7" s="1">
        <v>0</v>
      </c>
      <c r="U7" s="1">
        <f>F7*T7</f>
        <v>0</v>
      </c>
    </row>
    <row r="8" spans="1:21" x14ac:dyDescent="0.25">
      <c r="A8" s="27"/>
      <c r="B8" s="31" t="s">
        <v>485</v>
      </c>
      <c r="C8" s="31"/>
      <c r="D8" s="1"/>
      <c r="E8" s="1" t="s">
        <v>371</v>
      </c>
      <c r="F8" s="1">
        <v>85</v>
      </c>
      <c r="H8" s="1">
        <v>1</v>
      </c>
      <c r="I8" s="1">
        <f t="shared" ref="I8:I18" si="0">H8*F8</f>
        <v>85</v>
      </c>
      <c r="K8" s="1">
        <v>0</v>
      </c>
      <c r="L8" s="1">
        <f t="shared" ref="L8:L18" si="1">K8*F8</f>
        <v>0</v>
      </c>
      <c r="N8" s="1">
        <v>0</v>
      </c>
      <c r="O8" s="1">
        <f t="shared" ref="O8:O18" si="2">N8*F8</f>
        <v>0</v>
      </c>
      <c r="Q8" s="1">
        <v>0</v>
      </c>
      <c r="R8" s="1">
        <f t="shared" ref="R8:R18" si="3">Q8*F8</f>
        <v>0</v>
      </c>
      <c r="T8" s="1">
        <v>0</v>
      </c>
      <c r="U8" s="1">
        <f t="shared" ref="U8:U18" si="4">F8*T8</f>
        <v>0</v>
      </c>
    </row>
    <row r="9" spans="1:21" x14ac:dyDescent="0.25">
      <c r="A9" s="27"/>
      <c r="B9" s="31" t="s">
        <v>486</v>
      </c>
      <c r="C9" s="31"/>
      <c r="D9" s="1" t="s">
        <v>365</v>
      </c>
      <c r="E9" s="1" t="s">
        <v>363</v>
      </c>
      <c r="F9" s="1">
        <v>100</v>
      </c>
      <c r="H9" s="1">
        <v>1</v>
      </c>
      <c r="I9" s="1">
        <f t="shared" si="0"/>
        <v>100</v>
      </c>
      <c r="K9" s="1">
        <v>0</v>
      </c>
      <c r="L9" s="1">
        <f t="shared" si="1"/>
        <v>0</v>
      </c>
      <c r="N9" s="1">
        <v>1</v>
      </c>
      <c r="O9" s="1">
        <f t="shared" si="2"/>
        <v>100</v>
      </c>
      <c r="Q9" s="1">
        <v>0</v>
      </c>
      <c r="R9" s="1">
        <f t="shared" si="3"/>
        <v>0</v>
      </c>
      <c r="T9" s="1">
        <v>0</v>
      </c>
      <c r="U9" s="1">
        <f t="shared" si="4"/>
        <v>0</v>
      </c>
    </row>
    <row r="10" spans="1:21" x14ac:dyDescent="0.25">
      <c r="A10" s="27"/>
      <c r="B10" s="31" t="s">
        <v>487</v>
      </c>
      <c r="C10" s="31"/>
      <c r="D10" s="1" t="s">
        <v>364</v>
      </c>
      <c r="E10" s="1" t="s">
        <v>366</v>
      </c>
      <c r="F10" s="1">
        <v>115</v>
      </c>
      <c r="H10" s="1">
        <v>0</v>
      </c>
      <c r="I10" s="1">
        <f t="shared" si="0"/>
        <v>0</v>
      </c>
      <c r="K10" s="1">
        <v>0</v>
      </c>
      <c r="L10" s="1">
        <f t="shared" si="1"/>
        <v>0</v>
      </c>
      <c r="N10" s="1">
        <v>0</v>
      </c>
      <c r="O10" s="1">
        <f t="shared" si="2"/>
        <v>0</v>
      </c>
      <c r="Q10" s="1">
        <v>0</v>
      </c>
      <c r="R10" s="1">
        <f t="shared" si="3"/>
        <v>0</v>
      </c>
      <c r="T10" s="1">
        <v>0</v>
      </c>
      <c r="U10" s="1">
        <f t="shared" si="4"/>
        <v>0</v>
      </c>
    </row>
    <row r="11" spans="1:21" x14ac:dyDescent="0.25">
      <c r="A11" s="27"/>
      <c r="B11" s="31" t="s">
        <v>488</v>
      </c>
      <c r="C11" s="31"/>
      <c r="D11" s="1" t="s">
        <v>365</v>
      </c>
      <c r="E11" s="1" t="s">
        <v>367</v>
      </c>
      <c r="F11" s="1">
        <v>465</v>
      </c>
      <c r="H11" s="1">
        <v>0</v>
      </c>
      <c r="I11" s="1">
        <f t="shared" si="0"/>
        <v>0</v>
      </c>
      <c r="K11" s="1">
        <v>0</v>
      </c>
      <c r="L11" s="1">
        <f t="shared" si="1"/>
        <v>0</v>
      </c>
      <c r="N11" s="1">
        <v>0</v>
      </c>
      <c r="O11" s="1">
        <f t="shared" si="2"/>
        <v>0</v>
      </c>
      <c r="Q11" s="1">
        <v>1</v>
      </c>
      <c r="R11" s="1">
        <f t="shared" si="3"/>
        <v>465</v>
      </c>
      <c r="T11" s="1">
        <v>0</v>
      </c>
      <c r="U11" s="1">
        <f t="shared" si="4"/>
        <v>0</v>
      </c>
    </row>
    <row r="12" spans="1:21" x14ac:dyDescent="0.25">
      <c r="A12" s="27"/>
      <c r="B12" s="31" t="s">
        <v>489</v>
      </c>
      <c r="C12" s="31"/>
      <c r="D12" s="1" t="s">
        <v>368</v>
      </c>
      <c r="E12" s="1" t="s">
        <v>514</v>
      </c>
      <c r="F12" s="1">
        <v>360</v>
      </c>
      <c r="H12" s="1">
        <v>0</v>
      </c>
      <c r="I12" s="1">
        <f t="shared" si="0"/>
        <v>0</v>
      </c>
      <c r="K12" s="1">
        <v>0</v>
      </c>
      <c r="L12" s="1">
        <f t="shared" si="1"/>
        <v>0</v>
      </c>
      <c r="N12" s="1">
        <v>0</v>
      </c>
      <c r="O12" s="1">
        <f t="shared" si="2"/>
        <v>0</v>
      </c>
      <c r="Q12" s="1">
        <v>0</v>
      </c>
      <c r="R12" s="1">
        <f t="shared" si="3"/>
        <v>0</v>
      </c>
      <c r="T12" s="1">
        <v>0</v>
      </c>
      <c r="U12" s="1">
        <f t="shared" si="4"/>
        <v>0</v>
      </c>
    </row>
    <row r="13" spans="1:21" x14ac:dyDescent="0.25">
      <c r="A13" s="27"/>
      <c r="B13" s="31" t="s">
        <v>490</v>
      </c>
      <c r="C13" s="31"/>
      <c r="D13" s="1" t="s">
        <v>368</v>
      </c>
      <c r="E13" s="1" t="s">
        <v>515</v>
      </c>
      <c r="F13" s="1">
        <v>270</v>
      </c>
      <c r="H13" s="1">
        <v>0</v>
      </c>
      <c r="I13" s="1">
        <f t="shared" si="0"/>
        <v>0</v>
      </c>
      <c r="K13" s="1">
        <v>0</v>
      </c>
      <c r="L13" s="1">
        <f t="shared" si="1"/>
        <v>0</v>
      </c>
      <c r="N13" s="1">
        <v>0</v>
      </c>
      <c r="O13" s="1">
        <f t="shared" si="2"/>
        <v>0</v>
      </c>
      <c r="Q13" s="1">
        <v>0</v>
      </c>
      <c r="R13" s="1">
        <f t="shared" si="3"/>
        <v>0</v>
      </c>
      <c r="T13" s="1">
        <v>0</v>
      </c>
      <c r="U13" s="1">
        <f t="shared" si="4"/>
        <v>0</v>
      </c>
    </row>
    <row r="14" spans="1:21" x14ac:dyDescent="0.25">
      <c r="A14" s="27"/>
      <c r="B14" s="31" t="s">
        <v>491</v>
      </c>
      <c r="C14" s="31"/>
      <c r="D14" s="1" t="s">
        <v>368</v>
      </c>
      <c r="E14" s="1" t="s">
        <v>369</v>
      </c>
      <c r="F14" s="1">
        <v>70</v>
      </c>
      <c r="H14" s="1">
        <v>0</v>
      </c>
      <c r="I14" s="1">
        <f t="shared" si="0"/>
        <v>0</v>
      </c>
      <c r="K14" s="1">
        <v>0</v>
      </c>
      <c r="L14" s="1">
        <f t="shared" si="1"/>
        <v>0</v>
      </c>
      <c r="N14" s="1">
        <v>1</v>
      </c>
      <c r="O14" s="1">
        <f t="shared" si="2"/>
        <v>70</v>
      </c>
      <c r="Q14" s="1">
        <v>0</v>
      </c>
      <c r="R14" s="1">
        <f t="shared" si="3"/>
        <v>0</v>
      </c>
      <c r="T14" s="1">
        <v>0</v>
      </c>
      <c r="U14" s="1">
        <f t="shared" si="4"/>
        <v>0</v>
      </c>
    </row>
    <row r="15" spans="1:21" x14ac:dyDescent="0.25">
      <c r="A15" s="27"/>
      <c r="B15" s="31" t="s">
        <v>492</v>
      </c>
      <c r="C15" s="31"/>
      <c r="D15" s="1" t="s">
        <v>518</v>
      </c>
      <c r="E15" s="1" t="s">
        <v>519</v>
      </c>
      <c r="F15" s="1">
        <v>1635</v>
      </c>
      <c r="H15" s="1">
        <v>0</v>
      </c>
      <c r="I15" s="1">
        <f t="shared" si="0"/>
        <v>0</v>
      </c>
      <c r="K15" s="1">
        <v>0</v>
      </c>
      <c r="L15" s="1">
        <v>0</v>
      </c>
      <c r="N15" s="1">
        <v>0</v>
      </c>
      <c r="O15" s="1">
        <f t="shared" si="2"/>
        <v>0</v>
      </c>
      <c r="Q15" s="1">
        <v>0</v>
      </c>
      <c r="R15" s="1">
        <f t="shared" si="3"/>
        <v>0</v>
      </c>
      <c r="T15" s="1">
        <v>1</v>
      </c>
      <c r="U15" s="1">
        <f t="shared" si="4"/>
        <v>1635</v>
      </c>
    </row>
    <row r="16" spans="1:21" x14ac:dyDescent="0.25">
      <c r="A16" s="27"/>
      <c r="B16" s="31" t="s">
        <v>493</v>
      </c>
      <c r="C16" s="31"/>
      <c r="D16" s="1" t="s">
        <v>362</v>
      </c>
      <c r="E16" s="1" t="s">
        <v>370</v>
      </c>
      <c r="F16" s="1">
        <v>350</v>
      </c>
      <c r="H16" s="1">
        <v>0</v>
      </c>
      <c r="I16" s="1">
        <f t="shared" si="0"/>
        <v>0</v>
      </c>
      <c r="K16" s="1">
        <v>1</v>
      </c>
      <c r="L16" s="1">
        <f t="shared" si="1"/>
        <v>350</v>
      </c>
      <c r="N16" s="1">
        <v>1</v>
      </c>
      <c r="O16" s="1">
        <f t="shared" si="2"/>
        <v>350</v>
      </c>
      <c r="Q16" s="1">
        <v>3</v>
      </c>
      <c r="R16" s="1">
        <f t="shared" si="3"/>
        <v>1050</v>
      </c>
      <c r="T16" s="1">
        <v>0</v>
      </c>
      <c r="U16" s="1">
        <f t="shared" si="4"/>
        <v>0</v>
      </c>
    </row>
    <row r="17" spans="1:21" x14ac:dyDescent="0.25">
      <c r="A17" s="27"/>
      <c r="B17" s="31" t="s">
        <v>466</v>
      </c>
      <c r="C17" s="31"/>
      <c r="D17" s="1" t="s">
        <v>372</v>
      </c>
      <c r="E17" s="1" t="s">
        <v>370</v>
      </c>
      <c r="F17" s="1">
        <v>770</v>
      </c>
      <c r="H17" s="1">
        <v>0</v>
      </c>
      <c r="I17" s="1">
        <f t="shared" si="0"/>
        <v>0</v>
      </c>
      <c r="K17" s="1">
        <v>0</v>
      </c>
      <c r="L17" s="1">
        <f t="shared" si="1"/>
        <v>0</v>
      </c>
      <c r="N17" s="1">
        <v>0</v>
      </c>
      <c r="O17" s="1">
        <f t="shared" si="2"/>
        <v>0</v>
      </c>
      <c r="Q17" s="1">
        <v>0</v>
      </c>
      <c r="R17" s="1">
        <f t="shared" si="3"/>
        <v>0</v>
      </c>
      <c r="T17" s="1">
        <v>0</v>
      </c>
      <c r="U17" s="1">
        <f t="shared" si="4"/>
        <v>0</v>
      </c>
    </row>
    <row r="18" spans="1:21" x14ac:dyDescent="0.25">
      <c r="A18" s="27"/>
      <c r="B18" s="31" t="s">
        <v>764</v>
      </c>
      <c r="C18" s="31"/>
      <c r="D18" s="1" t="s">
        <v>373</v>
      </c>
      <c r="E18" s="1" t="s">
        <v>374</v>
      </c>
      <c r="F18" s="1">
        <v>60</v>
      </c>
      <c r="H18" s="1">
        <v>0</v>
      </c>
      <c r="I18" s="1">
        <f t="shared" si="0"/>
        <v>0</v>
      </c>
      <c r="K18" s="1">
        <v>0</v>
      </c>
      <c r="L18" s="1">
        <f t="shared" si="1"/>
        <v>0</v>
      </c>
      <c r="N18" s="1">
        <v>1</v>
      </c>
      <c r="O18" s="1">
        <f t="shared" si="2"/>
        <v>60</v>
      </c>
      <c r="Q18" s="1">
        <v>0</v>
      </c>
      <c r="R18" s="1">
        <f t="shared" si="3"/>
        <v>0</v>
      </c>
      <c r="T18" s="1">
        <v>0</v>
      </c>
      <c r="U18" s="1">
        <f t="shared" si="4"/>
        <v>0</v>
      </c>
    </row>
    <row r="19" spans="1:21" x14ac:dyDescent="0.25">
      <c r="A19" s="27"/>
      <c r="B19" s="31"/>
      <c r="C19" s="31"/>
      <c r="D19" s="1"/>
      <c r="E19" s="1"/>
      <c r="F19" s="1"/>
      <c r="H19" s="1"/>
      <c r="I19" s="1"/>
      <c r="K19" s="1"/>
      <c r="L19" s="1"/>
      <c r="N19" s="1"/>
      <c r="O19" s="1"/>
      <c r="Q19" s="1"/>
      <c r="R19" s="1"/>
      <c r="T19" s="1"/>
      <c r="U19" s="1"/>
    </row>
    <row r="20" spans="1:21" x14ac:dyDescent="0.25">
      <c r="A20" s="14"/>
      <c r="B20" s="31"/>
      <c r="C20" s="31"/>
      <c r="D20" s="1"/>
      <c r="E20" s="1"/>
      <c r="F20" s="1"/>
      <c r="H20" s="1"/>
      <c r="I20" s="1"/>
      <c r="K20" s="1"/>
      <c r="L20" s="1"/>
      <c r="N20" s="1"/>
      <c r="O20" s="1"/>
      <c r="Q20" s="1"/>
      <c r="R20" s="1"/>
      <c r="T20" s="1"/>
      <c r="U20" s="1"/>
    </row>
    <row r="21" spans="1:21" x14ac:dyDescent="0.25">
      <c r="B21" s="31"/>
      <c r="C21" s="31"/>
      <c r="D21" s="7" t="s">
        <v>151</v>
      </c>
      <c r="E21" s="1"/>
      <c r="F21" s="1"/>
      <c r="H21" s="1"/>
      <c r="I21" s="1"/>
      <c r="J21" s="4"/>
      <c r="K21" s="1"/>
      <c r="L21" s="1"/>
      <c r="N21" s="1"/>
      <c r="O21" s="1"/>
      <c r="Q21" s="1"/>
      <c r="R21" s="1"/>
      <c r="T21" s="1"/>
      <c r="U21" s="1"/>
    </row>
    <row r="22" spans="1:21" x14ac:dyDescent="0.25">
      <c r="B22" s="31" t="s">
        <v>494</v>
      </c>
      <c r="C22" s="31"/>
      <c r="D22" s="1" t="s">
        <v>271</v>
      </c>
      <c r="E22" s="1"/>
      <c r="F22" s="1">
        <v>20</v>
      </c>
      <c r="H22" s="1">
        <v>0</v>
      </c>
      <c r="I22" s="1">
        <v>4</v>
      </c>
      <c r="J22" s="4"/>
      <c r="K22" s="1">
        <v>0</v>
      </c>
      <c r="L22" s="1">
        <v>4</v>
      </c>
      <c r="N22" s="1">
        <v>1</v>
      </c>
      <c r="O22" s="1">
        <f t="shared" ref="O22" si="5">F22*N22</f>
        <v>20</v>
      </c>
      <c r="Q22" s="1">
        <v>0</v>
      </c>
      <c r="R22" s="1">
        <v>20</v>
      </c>
      <c r="T22" s="1">
        <v>0</v>
      </c>
      <c r="U22" s="1">
        <v>4</v>
      </c>
    </row>
    <row r="23" spans="1:21" x14ac:dyDescent="0.25">
      <c r="A23" s="27"/>
      <c r="B23" s="31" t="s">
        <v>495</v>
      </c>
      <c r="C23" s="31"/>
      <c r="D23" s="1" t="s">
        <v>173</v>
      </c>
      <c r="E23" s="1"/>
      <c r="F23" s="1"/>
      <c r="H23" s="1">
        <v>0</v>
      </c>
      <c r="I23" s="1">
        <v>18.5</v>
      </c>
      <c r="J23" s="4"/>
      <c r="K23" s="1">
        <v>0</v>
      </c>
      <c r="L23" s="1">
        <v>35</v>
      </c>
      <c r="N23" s="1">
        <v>0</v>
      </c>
      <c r="O23" s="1">
        <v>58</v>
      </c>
      <c r="Q23" s="1">
        <v>0</v>
      </c>
      <c r="R23" s="1">
        <v>151</v>
      </c>
      <c r="T23" s="1">
        <v>0</v>
      </c>
      <c r="U23" s="1">
        <v>163</v>
      </c>
    </row>
    <row r="24" spans="1:21" x14ac:dyDescent="0.25">
      <c r="B24" s="1"/>
      <c r="C24" s="1"/>
      <c r="D24" s="1"/>
      <c r="E24" s="1"/>
      <c r="F24" s="1"/>
      <c r="H24" s="1"/>
      <c r="I24" s="1"/>
      <c r="J24" s="4"/>
      <c r="K24" s="1"/>
      <c r="L24" s="1"/>
      <c r="N24" s="1"/>
      <c r="O24" s="1"/>
      <c r="Q24" s="1"/>
      <c r="R24" s="1"/>
      <c r="T24" s="1"/>
      <c r="U24" s="1"/>
    </row>
    <row r="25" spans="1:21" s="14" customFormat="1" x14ac:dyDescent="0.25">
      <c r="B25" s="7"/>
      <c r="C25" s="7"/>
      <c r="D25" s="7" t="s">
        <v>18</v>
      </c>
      <c r="E25" s="7"/>
      <c r="F25" s="7"/>
      <c r="H25" s="7"/>
      <c r="I25" s="7">
        <f>SUM(I7:I24)</f>
        <v>207.5</v>
      </c>
      <c r="J25" s="30"/>
      <c r="K25" s="7"/>
      <c r="L25" s="7">
        <f>SUM(L10:L24)</f>
        <v>389</v>
      </c>
      <c r="N25" s="7"/>
      <c r="O25" s="7">
        <f>SUM(O7:O24)</f>
        <v>658</v>
      </c>
      <c r="Q25" s="1"/>
      <c r="R25" s="7">
        <f>SUM(R7:R24)</f>
        <v>1686</v>
      </c>
      <c r="T25" s="1"/>
      <c r="U25" s="7">
        <f>SUM(U7:U24)</f>
        <v>1802</v>
      </c>
    </row>
    <row r="26" spans="1:21" x14ac:dyDescent="0.25">
      <c r="A26" s="8"/>
      <c r="B26" s="9"/>
      <c r="C26" s="9"/>
      <c r="D26" s="1"/>
      <c r="E26" s="1"/>
      <c r="F26" s="1"/>
      <c r="H26" s="9"/>
      <c r="I26" s="9"/>
      <c r="J26" s="8"/>
      <c r="K26" s="9"/>
      <c r="L26" s="9"/>
      <c r="M26" s="8"/>
      <c r="N26" s="9"/>
      <c r="O26" s="1"/>
      <c r="Q26" s="9"/>
      <c r="R26" s="1"/>
      <c r="T26" s="9"/>
      <c r="U26" s="1"/>
    </row>
  </sheetData>
  <mergeCells count="5">
    <mergeCell ref="H4:I4"/>
    <mergeCell ref="K4:L4"/>
    <mergeCell ref="N4:O4"/>
    <mergeCell ref="Q4:R4"/>
    <mergeCell ref="T4:U4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A8DA-1188-4841-87DE-9C076FF5795D}">
  <dimension ref="A1:O26"/>
  <sheetViews>
    <sheetView workbookViewId="0">
      <selection activeCell="C11" sqref="C11"/>
    </sheetView>
  </sheetViews>
  <sheetFormatPr defaultRowHeight="15" x14ac:dyDescent="0.25"/>
  <cols>
    <col min="1" max="1" width="17.42578125" customWidth="1"/>
    <col min="2" max="3" width="15.7109375" customWidth="1"/>
    <col min="4" max="4" width="28.140625" customWidth="1"/>
    <col min="5" max="5" width="50" customWidth="1"/>
    <col min="15" max="15" width="9.28515625" customWidth="1"/>
  </cols>
  <sheetData>
    <row r="1" spans="1:15" x14ac:dyDescent="0.25">
      <c r="A1" s="14" t="s">
        <v>198</v>
      </c>
      <c r="B1" s="14"/>
      <c r="C1" s="14"/>
      <c r="D1" s="14" t="s">
        <v>375</v>
      </c>
    </row>
    <row r="2" spans="1:15" x14ac:dyDescent="0.25">
      <c r="A2" s="14" t="s">
        <v>195</v>
      </c>
      <c r="B2" s="14"/>
      <c r="C2" s="14"/>
      <c r="D2" s="14" t="s">
        <v>380</v>
      </c>
      <c r="E2" t="s">
        <v>147</v>
      </c>
    </row>
    <row r="3" spans="1:15" ht="15.75" thickBot="1" x14ac:dyDescent="0.3"/>
    <row r="4" spans="1:15" ht="15.75" thickBot="1" x14ac:dyDescent="0.3">
      <c r="A4" s="7" t="s">
        <v>376</v>
      </c>
      <c r="B4" s="14"/>
      <c r="C4" s="14"/>
      <c r="D4" s="28"/>
      <c r="E4" s="14" t="s">
        <v>159</v>
      </c>
      <c r="F4" s="29">
        <v>0.4</v>
      </c>
      <c r="H4" s="58" t="s">
        <v>393</v>
      </c>
      <c r="I4" s="59"/>
      <c r="K4" s="58" t="s">
        <v>394</v>
      </c>
      <c r="L4" s="59"/>
      <c r="N4" s="58" t="s">
        <v>392</v>
      </c>
      <c r="O4" s="59"/>
    </row>
    <row r="5" spans="1:15" x14ac:dyDescent="0.25">
      <c r="B5" s="7" t="s">
        <v>331</v>
      </c>
      <c r="C5" s="7" t="s">
        <v>527</v>
      </c>
      <c r="D5" s="7" t="s">
        <v>158</v>
      </c>
      <c r="E5" s="7" t="s">
        <v>153</v>
      </c>
      <c r="F5" s="7" t="s">
        <v>3</v>
      </c>
      <c r="H5" s="15" t="s">
        <v>4</v>
      </c>
      <c r="I5" s="15" t="s">
        <v>5</v>
      </c>
      <c r="K5" s="15" t="s">
        <v>4</v>
      </c>
      <c r="L5" s="15" t="s">
        <v>5</v>
      </c>
      <c r="N5" s="15" t="s">
        <v>4</v>
      </c>
      <c r="O5" s="15" t="s">
        <v>5</v>
      </c>
    </row>
    <row r="6" spans="1:15" x14ac:dyDescent="0.25">
      <c r="B6" s="1"/>
      <c r="C6" s="1"/>
      <c r="D6" s="7"/>
      <c r="E6" s="7"/>
      <c r="F6" s="7"/>
      <c r="H6" s="15"/>
      <c r="I6" s="15"/>
      <c r="K6" s="15"/>
      <c r="L6" s="15"/>
      <c r="N6" s="15"/>
      <c r="O6" s="15"/>
    </row>
    <row r="7" spans="1:15" x14ac:dyDescent="0.25">
      <c r="A7" s="27"/>
      <c r="B7" s="31"/>
      <c r="C7" s="31"/>
      <c r="D7" s="1"/>
      <c r="E7" s="1"/>
      <c r="F7" s="1"/>
      <c r="H7" s="1"/>
      <c r="I7" s="1"/>
      <c r="K7" s="1"/>
      <c r="L7" s="1"/>
      <c r="N7" s="1"/>
      <c r="O7" s="1"/>
    </row>
    <row r="8" spans="1:15" x14ac:dyDescent="0.25">
      <c r="A8" s="27"/>
      <c r="B8" s="31"/>
      <c r="C8" s="31"/>
      <c r="D8" s="7"/>
      <c r="E8" s="1"/>
      <c r="F8" s="1"/>
      <c r="H8" s="1"/>
      <c r="I8" s="1"/>
      <c r="K8" s="1"/>
      <c r="L8" s="1"/>
      <c r="N8" s="1"/>
      <c r="O8" s="1"/>
    </row>
    <row r="9" spans="1:15" x14ac:dyDescent="0.25">
      <c r="A9" s="27"/>
      <c r="B9" s="31" t="s">
        <v>496</v>
      </c>
      <c r="C9" s="31"/>
      <c r="D9" s="1" t="s">
        <v>377</v>
      </c>
      <c r="E9" s="1" t="s">
        <v>378</v>
      </c>
      <c r="F9" s="1">
        <v>10</v>
      </c>
      <c r="H9" s="1">
        <v>1</v>
      </c>
      <c r="I9" s="1">
        <f>H9*F9</f>
        <v>10</v>
      </c>
      <c r="K9" s="1">
        <v>0</v>
      </c>
      <c r="L9" s="1">
        <f>K9*F9</f>
        <v>0</v>
      </c>
      <c r="N9" s="1">
        <v>1</v>
      </c>
      <c r="O9" s="1">
        <f>N9*F9</f>
        <v>10</v>
      </c>
    </row>
    <row r="10" spans="1:15" x14ac:dyDescent="0.25">
      <c r="A10" s="27"/>
      <c r="B10" s="31" t="s">
        <v>497</v>
      </c>
      <c r="C10" s="31"/>
      <c r="D10" s="1" t="s">
        <v>381</v>
      </c>
      <c r="E10" s="1" t="s">
        <v>400</v>
      </c>
      <c r="F10" s="1">
        <v>20</v>
      </c>
      <c r="H10" s="1">
        <v>1</v>
      </c>
      <c r="I10" s="1">
        <f t="shared" ref="I10:I21" si="0">H10*F10</f>
        <v>20</v>
      </c>
      <c r="K10" s="1">
        <v>0</v>
      </c>
      <c r="L10" s="1">
        <f t="shared" ref="L10:L21" si="1">K10*F10</f>
        <v>0</v>
      </c>
      <c r="N10" s="1">
        <v>0</v>
      </c>
      <c r="O10" s="1">
        <f t="shared" ref="O10:O21" si="2">N10*F10</f>
        <v>0</v>
      </c>
    </row>
    <row r="11" spans="1:15" x14ac:dyDescent="0.25">
      <c r="A11" s="27"/>
      <c r="B11" s="31" t="s">
        <v>498</v>
      </c>
      <c r="C11" s="31"/>
      <c r="D11" s="1" t="s">
        <v>381</v>
      </c>
      <c r="E11" s="1" t="s">
        <v>399</v>
      </c>
      <c r="F11" s="1">
        <v>20</v>
      </c>
      <c r="H11" s="1">
        <v>0</v>
      </c>
      <c r="I11" s="1">
        <f t="shared" si="0"/>
        <v>0</v>
      </c>
      <c r="K11" s="1">
        <v>0</v>
      </c>
      <c r="L11" s="1">
        <f t="shared" si="1"/>
        <v>0</v>
      </c>
      <c r="N11" s="1">
        <v>2</v>
      </c>
      <c r="O11" s="1">
        <f>N11*F11</f>
        <v>40</v>
      </c>
    </row>
    <row r="12" spans="1:15" x14ac:dyDescent="0.25">
      <c r="A12" s="27"/>
      <c r="B12" s="31" t="s">
        <v>499</v>
      </c>
      <c r="C12" s="31"/>
      <c r="D12" s="1" t="s">
        <v>385</v>
      </c>
      <c r="E12" s="1" t="s">
        <v>396</v>
      </c>
      <c r="F12" s="1">
        <v>4</v>
      </c>
      <c r="H12" s="1">
        <v>30</v>
      </c>
      <c r="I12" s="1">
        <f t="shared" si="0"/>
        <v>120</v>
      </c>
      <c r="K12" s="1">
        <v>0</v>
      </c>
      <c r="L12" s="1">
        <f t="shared" si="1"/>
        <v>0</v>
      </c>
      <c r="N12" s="1">
        <v>30</v>
      </c>
      <c r="O12" s="1">
        <f>N12*F12</f>
        <v>120</v>
      </c>
    </row>
    <row r="13" spans="1:15" x14ac:dyDescent="0.25">
      <c r="A13" s="27"/>
      <c r="B13" s="31" t="s">
        <v>500</v>
      </c>
      <c r="C13" s="31"/>
      <c r="D13" s="1" t="s">
        <v>386</v>
      </c>
      <c r="E13" s="1" t="s">
        <v>395</v>
      </c>
      <c r="F13" s="1">
        <v>9</v>
      </c>
      <c r="H13" s="1">
        <v>0</v>
      </c>
      <c r="I13" s="1">
        <f t="shared" si="0"/>
        <v>0</v>
      </c>
      <c r="K13" s="1">
        <v>10</v>
      </c>
      <c r="L13" s="1">
        <f t="shared" si="1"/>
        <v>90</v>
      </c>
      <c r="N13" s="1">
        <v>10</v>
      </c>
      <c r="O13" s="1">
        <f>N13*F13</f>
        <v>90</v>
      </c>
    </row>
    <row r="14" spans="1:15" x14ac:dyDescent="0.25">
      <c r="A14" s="27"/>
      <c r="B14" s="31" t="s">
        <v>501</v>
      </c>
      <c r="C14" s="31"/>
      <c r="D14" s="1" t="s">
        <v>387</v>
      </c>
      <c r="E14" s="1" t="s">
        <v>401</v>
      </c>
      <c r="F14" s="1">
        <v>30</v>
      </c>
      <c r="H14" s="1">
        <v>1</v>
      </c>
      <c r="I14" s="1">
        <f t="shared" si="0"/>
        <v>30</v>
      </c>
      <c r="K14" s="1">
        <v>0</v>
      </c>
      <c r="L14" s="1">
        <f t="shared" si="1"/>
        <v>0</v>
      </c>
      <c r="N14" s="1">
        <v>0</v>
      </c>
      <c r="O14" s="1">
        <f t="shared" si="2"/>
        <v>0</v>
      </c>
    </row>
    <row r="15" spans="1:15" x14ac:dyDescent="0.25">
      <c r="A15" s="27"/>
      <c r="B15" s="31" t="s">
        <v>502</v>
      </c>
      <c r="C15" s="31"/>
      <c r="D15" s="1" t="s">
        <v>387</v>
      </c>
      <c r="E15" s="1" t="s">
        <v>402</v>
      </c>
      <c r="F15" s="1">
        <v>30</v>
      </c>
      <c r="H15" s="1">
        <v>0</v>
      </c>
      <c r="I15" s="1">
        <f t="shared" si="0"/>
        <v>0</v>
      </c>
      <c r="K15" s="1">
        <v>0</v>
      </c>
      <c r="L15" s="1">
        <f t="shared" si="1"/>
        <v>0</v>
      </c>
      <c r="N15" s="1">
        <v>2</v>
      </c>
      <c r="O15" s="1">
        <f t="shared" si="2"/>
        <v>60</v>
      </c>
    </row>
    <row r="16" spans="1:15" x14ac:dyDescent="0.25">
      <c r="A16" s="27"/>
      <c r="B16" s="31" t="s">
        <v>503</v>
      </c>
      <c r="C16" s="31"/>
      <c r="D16" s="1" t="s">
        <v>388</v>
      </c>
      <c r="E16" s="1" t="s">
        <v>403</v>
      </c>
      <c r="F16" s="1">
        <v>55</v>
      </c>
      <c r="H16" s="1">
        <v>0</v>
      </c>
      <c r="I16" s="1">
        <f t="shared" si="0"/>
        <v>0</v>
      </c>
      <c r="K16" s="1">
        <v>2</v>
      </c>
      <c r="L16" s="1">
        <f t="shared" si="1"/>
        <v>110</v>
      </c>
      <c r="N16" s="1">
        <v>2</v>
      </c>
      <c r="O16" s="1">
        <f t="shared" si="2"/>
        <v>110</v>
      </c>
    </row>
    <row r="17" spans="1:15" x14ac:dyDescent="0.25">
      <c r="A17" s="27"/>
      <c r="B17" s="31" t="s">
        <v>504</v>
      </c>
      <c r="C17" s="31"/>
      <c r="D17" s="1" t="s">
        <v>389</v>
      </c>
      <c r="E17" s="1" t="s">
        <v>397</v>
      </c>
      <c r="F17" s="1">
        <v>25</v>
      </c>
      <c r="H17" s="1">
        <v>1</v>
      </c>
      <c r="I17" s="1">
        <f t="shared" si="0"/>
        <v>25</v>
      </c>
      <c r="K17" s="1">
        <v>0</v>
      </c>
      <c r="L17" s="1">
        <f t="shared" si="1"/>
        <v>0</v>
      </c>
      <c r="N17" s="1">
        <v>0</v>
      </c>
      <c r="O17" s="1">
        <f t="shared" si="2"/>
        <v>0</v>
      </c>
    </row>
    <row r="18" spans="1:15" x14ac:dyDescent="0.25">
      <c r="A18" s="27"/>
      <c r="B18" s="31" t="s">
        <v>505</v>
      </c>
      <c r="C18" s="31"/>
      <c r="D18" s="1" t="s">
        <v>389</v>
      </c>
      <c r="E18" s="1" t="s">
        <v>398</v>
      </c>
      <c r="F18" s="1">
        <v>25</v>
      </c>
      <c r="H18" s="1">
        <v>0</v>
      </c>
      <c r="I18" s="1">
        <f t="shared" si="0"/>
        <v>0</v>
      </c>
      <c r="K18" s="1">
        <v>0</v>
      </c>
      <c r="L18" s="1">
        <f t="shared" si="1"/>
        <v>0</v>
      </c>
      <c r="N18" s="1">
        <v>2</v>
      </c>
      <c r="O18" s="1">
        <f t="shared" si="2"/>
        <v>50</v>
      </c>
    </row>
    <row r="19" spans="1:15" x14ac:dyDescent="0.25">
      <c r="A19" s="27"/>
      <c r="B19" s="31" t="s">
        <v>506</v>
      </c>
      <c r="C19" s="31"/>
      <c r="D19" s="1" t="s">
        <v>390</v>
      </c>
      <c r="E19" s="1" t="s">
        <v>404</v>
      </c>
      <c r="F19" s="1">
        <v>30</v>
      </c>
      <c r="H19" s="1">
        <v>0</v>
      </c>
      <c r="I19" s="1">
        <f t="shared" si="0"/>
        <v>0</v>
      </c>
      <c r="K19" s="1">
        <v>0</v>
      </c>
      <c r="L19" s="1">
        <f t="shared" si="1"/>
        <v>0</v>
      </c>
      <c r="N19" s="1">
        <v>2</v>
      </c>
      <c r="O19" s="1">
        <f t="shared" si="2"/>
        <v>60</v>
      </c>
    </row>
    <row r="20" spans="1:15" x14ac:dyDescent="0.25">
      <c r="A20" s="27"/>
      <c r="B20" s="31" t="s">
        <v>507</v>
      </c>
      <c r="C20" s="31"/>
      <c r="D20" s="1" t="s">
        <v>383</v>
      </c>
      <c r="E20" s="1" t="s">
        <v>379</v>
      </c>
      <c r="F20" s="1">
        <v>45</v>
      </c>
      <c r="H20" s="1">
        <v>0</v>
      </c>
      <c r="I20" s="1">
        <f t="shared" si="0"/>
        <v>0</v>
      </c>
      <c r="K20" s="1">
        <v>1</v>
      </c>
      <c r="L20" s="1">
        <f t="shared" si="1"/>
        <v>45</v>
      </c>
      <c r="N20" s="1">
        <v>1</v>
      </c>
      <c r="O20" s="1">
        <f t="shared" si="2"/>
        <v>45</v>
      </c>
    </row>
    <row r="21" spans="1:15" x14ac:dyDescent="0.25">
      <c r="A21" s="27"/>
      <c r="B21" s="31" t="s">
        <v>508</v>
      </c>
      <c r="C21" s="31"/>
      <c r="D21" s="1" t="s">
        <v>384</v>
      </c>
      <c r="E21" s="1" t="s">
        <v>391</v>
      </c>
      <c r="F21" s="1">
        <v>60</v>
      </c>
      <c r="H21" s="1">
        <v>0</v>
      </c>
      <c r="I21" s="1">
        <f t="shared" si="0"/>
        <v>0</v>
      </c>
      <c r="K21" s="1">
        <v>1</v>
      </c>
      <c r="L21" s="1">
        <f t="shared" si="1"/>
        <v>60</v>
      </c>
      <c r="N21" s="1">
        <v>1</v>
      </c>
      <c r="O21" s="1">
        <f t="shared" si="2"/>
        <v>60</v>
      </c>
    </row>
    <row r="22" spans="1:15" x14ac:dyDescent="0.25">
      <c r="A22" s="27"/>
      <c r="B22" s="31"/>
      <c r="C22" s="31"/>
      <c r="D22" s="1"/>
      <c r="E22" s="1"/>
      <c r="F22" s="1"/>
      <c r="H22" s="1"/>
      <c r="I22" s="1"/>
      <c r="K22" s="1"/>
      <c r="L22" s="1"/>
      <c r="N22" s="1"/>
      <c r="O22" s="1"/>
    </row>
    <row r="23" spans="1:15" x14ac:dyDescent="0.25">
      <c r="A23" s="27"/>
      <c r="B23" s="31"/>
      <c r="C23" s="31"/>
      <c r="D23" s="1"/>
      <c r="E23" s="1"/>
      <c r="F23" s="1"/>
      <c r="H23" s="1"/>
      <c r="I23" s="1"/>
      <c r="K23" s="1"/>
      <c r="L23" s="1"/>
      <c r="N23" s="1"/>
      <c r="O23" s="1"/>
    </row>
    <row r="24" spans="1:15" x14ac:dyDescent="0.25">
      <c r="B24" s="1"/>
      <c r="C24" s="1"/>
      <c r="D24" s="1"/>
      <c r="E24" s="1"/>
      <c r="F24" s="1"/>
      <c r="H24" s="1"/>
      <c r="I24" s="1"/>
      <c r="J24" s="4"/>
      <c r="K24" s="1"/>
      <c r="L24" s="1"/>
      <c r="N24" s="1"/>
      <c r="O24" s="1"/>
    </row>
    <row r="25" spans="1:15" s="14" customFormat="1" x14ac:dyDescent="0.25">
      <c r="B25" s="7"/>
      <c r="C25" s="7"/>
      <c r="D25" s="7" t="s">
        <v>18</v>
      </c>
      <c r="E25" s="7"/>
      <c r="F25" s="7"/>
      <c r="H25" s="7"/>
      <c r="I25" s="7">
        <f>SUM(I9:I24)</f>
        <v>205</v>
      </c>
      <c r="J25" s="30"/>
      <c r="K25" s="7"/>
      <c r="L25" s="7">
        <f>SUM(L10:L24)</f>
        <v>305</v>
      </c>
      <c r="N25" s="7"/>
      <c r="O25" s="7">
        <f>SUM(O7:O24)</f>
        <v>645</v>
      </c>
    </row>
    <row r="26" spans="1:15" x14ac:dyDescent="0.25">
      <c r="A26" s="8"/>
      <c r="B26" s="9"/>
      <c r="C26" s="9"/>
      <c r="D26" s="1"/>
      <c r="E26" s="1"/>
      <c r="F26" s="1"/>
      <c r="H26" s="9"/>
      <c r="I26" s="9"/>
      <c r="J26" s="8"/>
      <c r="K26" s="9"/>
      <c r="L26" s="9"/>
      <c r="M26" s="8"/>
      <c r="N26" s="9"/>
      <c r="O26" s="1"/>
    </row>
  </sheetData>
  <mergeCells count="3">
    <mergeCell ref="H4:I4"/>
    <mergeCell ref="K4:L4"/>
    <mergeCell ref="N4:O4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0423-E6DF-4F7C-B14E-5AAF1A1EBDE9}">
  <dimension ref="A1:Q30"/>
  <sheetViews>
    <sheetView workbookViewId="0">
      <selection activeCell="B7" sqref="B7:B16"/>
    </sheetView>
  </sheetViews>
  <sheetFormatPr defaultRowHeight="15" x14ac:dyDescent="0.25"/>
  <cols>
    <col min="1" max="1" width="24.140625" customWidth="1"/>
    <col min="2" max="2" width="16" customWidth="1"/>
    <col min="3" max="3" width="28.5703125" customWidth="1"/>
    <col min="4" max="4" width="23.42578125" customWidth="1"/>
  </cols>
  <sheetData>
    <row r="1" spans="1:17" x14ac:dyDescent="0.25">
      <c r="A1" s="14" t="s">
        <v>198</v>
      </c>
      <c r="B1" s="14"/>
      <c r="C1" s="14" t="s">
        <v>524</v>
      </c>
    </row>
    <row r="2" spans="1:17" x14ac:dyDescent="0.25">
      <c r="A2" s="14" t="s">
        <v>195</v>
      </c>
      <c r="B2" s="14"/>
      <c r="C2" s="14" t="s">
        <v>525</v>
      </c>
    </row>
    <row r="3" spans="1:17" ht="15.75" thickBot="1" x14ac:dyDescent="0.3"/>
    <row r="4" spans="1:17" ht="15.75" thickBot="1" x14ac:dyDescent="0.3">
      <c r="A4" s="7" t="s">
        <v>546</v>
      </c>
      <c r="B4" s="7"/>
      <c r="C4" s="55"/>
      <c r="D4" s="7" t="s">
        <v>159</v>
      </c>
      <c r="E4" s="56">
        <v>0.4</v>
      </c>
      <c r="G4" s="58" t="s">
        <v>0</v>
      </c>
      <c r="H4" s="59"/>
      <c r="J4" s="58" t="s">
        <v>1</v>
      </c>
      <c r="K4" s="59"/>
      <c r="M4" s="58" t="s">
        <v>20</v>
      </c>
      <c r="N4" s="59"/>
      <c r="P4" s="58" t="s">
        <v>290</v>
      </c>
      <c r="Q4" s="59"/>
    </row>
    <row r="5" spans="1:17" x14ac:dyDescent="0.25">
      <c r="A5" s="1"/>
      <c r="B5" s="1" t="s">
        <v>527</v>
      </c>
      <c r="C5" s="7" t="s">
        <v>158</v>
      </c>
      <c r="D5" s="7" t="s">
        <v>153</v>
      </c>
      <c r="E5" s="7" t="s">
        <v>3</v>
      </c>
      <c r="G5" s="15" t="s">
        <v>4</v>
      </c>
      <c r="H5" s="15" t="s">
        <v>5</v>
      </c>
      <c r="J5" s="15" t="s">
        <v>4</v>
      </c>
      <c r="K5" s="15" t="s">
        <v>5</v>
      </c>
      <c r="M5" s="15" t="s">
        <v>4</v>
      </c>
      <c r="N5" s="15" t="s">
        <v>5</v>
      </c>
      <c r="P5" s="15" t="s">
        <v>4</v>
      </c>
      <c r="Q5" s="15" t="s">
        <v>5</v>
      </c>
    </row>
    <row r="6" spans="1:17" x14ac:dyDescent="0.25">
      <c r="A6" s="1"/>
      <c r="B6" s="1"/>
      <c r="C6" s="7"/>
      <c r="D6" s="7"/>
      <c r="E6" s="7"/>
      <c r="G6" s="15"/>
      <c r="H6" s="15"/>
      <c r="J6" s="15"/>
      <c r="K6" s="15"/>
      <c r="M6" s="15"/>
      <c r="N6" s="15"/>
      <c r="P6" s="15"/>
      <c r="Q6" s="15"/>
    </row>
    <row r="7" spans="1:17" x14ac:dyDescent="0.25">
      <c r="A7" s="31" t="s">
        <v>549</v>
      </c>
      <c r="B7" s="49" t="s">
        <v>765</v>
      </c>
      <c r="C7" s="1" t="s">
        <v>526</v>
      </c>
      <c r="D7" s="1" t="s">
        <v>543</v>
      </c>
      <c r="E7" s="1">
        <v>75</v>
      </c>
      <c r="G7" s="1">
        <v>1</v>
      </c>
      <c r="H7" s="1">
        <f>E7</f>
        <v>75</v>
      </c>
      <c r="J7" s="1">
        <v>0</v>
      </c>
      <c r="K7" s="1">
        <f>J7*E7</f>
        <v>0</v>
      </c>
      <c r="M7" s="1">
        <v>0</v>
      </c>
      <c r="N7" s="1">
        <f>M7*E7</f>
        <v>0</v>
      </c>
      <c r="P7" s="1">
        <v>0</v>
      </c>
      <c r="Q7" s="1">
        <v>0</v>
      </c>
    </row>
    <row r="8" spans="1:17" x14ac:dyDescent="0.25">
      <c r="A8" s="31" t="s">
        <v>550</v>
      </c>
      <c r="B8" s="49" t="s">
        <v>532</v>
      </c>
      <c r="C8" s="1" t="s">
        <v>526</v>
      </c>
      <c r="D8" s="1" t="s">
        <v>544</v>
      </c>
      <c r="E8" s="1">
        <v>100</v>
      </c>
      <c r="G8" s="1">
        <v>0</v>
      </c>
      <c r="H8" s="1">
        <v>0</v>
      </c>
      <c r="J8" s="1">
        <v>1</v>
      </c>
      <c r="K8" s="1">
        <f t="shared" ref="K8:K11" si="0">J8*E8</f>
        <v>100</v>
      </c>
      <c r="M8" s="1">
        <v>1</v>
      </c>
      <c r="N8" s="1">
        <f t="shared" ref="N8:N15" si="1">M8*E8</f>
        <v>100</v>
      </c>
      <c r="P8" s="1">
        <v>0</v>
      </c>
      <c r="Q8" s="1">
        <f t="shared" ref="Q8:Q16" si="2">P8*E8</f>
        <v>0</v>
      </c>
    </row>
    <row r="9" spans="1:17" x14ac:dyDescent="0.25">
      <c r="A9" s="31" t="s">
        <v>551</v>
      </c>
      <c r="B9" s="49" t="s">
        <v>532</v>
      </c>
      <c r="C9" s="1" t="s">
        <v>526</v>
      </c>
      <c r="D9" s="1" t="s">
        <v>545</v>
      </c>
      <c r="E9" s="1">
        <v>150</v>
      </c>
      <c r="G9" s="1">
        <v>0</v>
      </c>
      <c r="H9" s="1">
        <v>0</v>
      </c>
      <c r="J9" s="1">
        <v>0</v>
      </c>
      <c r="K9" s="1">
        <v>0</v>
      </c>
      <c r="M9" s="1">
        <v>0</v>
      </c>
      <c r="N9" s="1">
        <f t="shared" si="1"/>
        <v>0</v>
      </c>
      <c r="P9" s="1">
        <v>2</v>
      </c>
      <c r="Q9" s="1">
        <f t="shared" si="2"/>
        <v>300</v>
      </c>
    </row>
    <row r="10" spans="1:17" x14ac:dyDescent="0.25">
      <c r="A10" s="31" t="s">
        <v>552</v>
      </c>
      <c r="B10" s="49" t="s">
        <v>532</v>
      </c>
      <c r="C10" s="1" t="s">
        <v>531</v>
      </c>
      <c r="D10" s="1" t="s">
        <v>537</v>
      </c>
      <c r="E10" s="1">
        <v>268</v>
      </c>
      <c r="G10" s="1">
        <v>0</v>
      </c>
      <c r="H10" s="1">
        <v>0</v>
      </c>
      <c r="J10" s="1">
        <v>0</v>
      </c>
      <c r="K10" s="1">
        <f>J10*E10</f>
        <v>0</v>
      </c>
      <c r="M10" s="1">
        <v>1</v>
      </c>
      <c r="N10" s="1">
        <f>M10*E10</f>
        <v>268</v>
      </c>
      <c r="P10" s="1">
        <v>1</v>
      </c>
      <c r="Q10" s="1">
        <f>P10*E10</f>
        <v>268</v>
      </c>
    </row>
    <row r="11" spans="1:17" x14ac:dyDescent="0.25">
      <c r="A11" s="31" t="s">
        <v>553</v>
      </c>
      <c r="B11" s="49" t="s">
        <v>532</v>
      </c>
      <c r="C11" s="1" t="s">
        <v>528</v>
      </c>
      <c r="D11" s="1" t="s">
        <v>533</v>
      </c>
      <c r="E11" s="1">
        <v>110</v>
      </c>
      <c r="G11" s="1">
        <v>1</v>
      </c>
      <c r="H11" s="1">
        <f>E11</f>
        <v>110</v>
      </c>
      <c r="J11" s="1">
        <v>0</v>
      </c>
      <c r="K11" s="1">
        <f t="shared" si="0"/>
        <v>0</v>
      </c>
      <c r="M11" s="1">
        <v>0</v>
      </c>
      <c r="N11" s="1">
        <f t="shared" si="1"/>
        <v>0</v>
      </c>
      <c r="P11" s="1">
        <v>0</v>
      </c>
      <c r="Q11" s="1">
        <f t="shared" si="2"/>
        <v>0</v>
      </c>
    </row>
    <row r="12" spans="1:17" x14ac:dyDescent="0.25">
      <c r="A12" s="31" t="s">
        <v>554</v>
      </c>
      <c r="B12" s="49" t="s">
        <v>532</v>
      </c>
      <c r="C12" s="1" t="s">
        <v>528</v>
      </c>
      <c r="D12" s="1" t="s">
        <v>529</v>
      </c>
      <c r="E12" s="1">
        <v>130</v>
      </c>
      <c r="G12" s="1">
        <v>0</v>
      </c>
      <c r="H12" s="1">
        <v>0</v>
      </c>
      <c r="J12" s="1">
        <v>1</v>
      </c>
      <c r="K12" s="1">
        <f t="shared" ref="K12:K13" si="3">J12*E12</f>
        <v>130</v>
      </c>
      <c r="M12" s="1">
        <v>1</v>
      </c>
      <c r="N12" s="1">
        <f t="shared" si="1"/>
        <v>130</v>
      </c>
      <c r="P12" s="1">
        <v>2</v>
      </c>
      <c r="Q12" s="1">
        <f t="shared" si="2"/>
        <v>260</v>
      </c>
    </row>
    <row r="13" spans="1:17" x14ac:dyDescent="0.25">
      <c r="A13" s="31" t="s">
        <v>555</v>
      </c>
      <c r="B13" s="49" t="s">
        <v>532</v>
      </c>
      <c r="C13" s="1" t="s">
        <v>535</v>
      </c>
      <c r="D13" s="1" t="s">
        <v>534</v>
      </c>
      <c r="E13" s="1">
        <v>85</v>
      </c>
      <c r="G13" s="1">
        <v>0</v>
      </c>
      <c r="H13" s="1">
        <v>0</v>
      </c>
      <c r="J13" s="1">
        <v>1</v>
      </c>
      <c r="K13" s="1">
        <f t="shared" si="3"/>
        <v>85</v>
      </c>
      <c r="M13" s="1">
        <v>0</v>
      </c>
      <c r="N13" s="1">
        <f t="shared" si="1"/>
        <v>0</v>
      </c>
      <c r="P13" s="1">
        <v>1</v>
      </c>
      <c r="Q13" s="1">
        <f t="shared" si="2"/>
        <v>85</v>
      </c>
    </row>
    <row r="14" spans="1:17" x14ac:dyDescent="0.25">
      <c r="A14" s="31" t="s">
        <v>556</v>
      </c>
      <c r="B14" s="49" t="s">
        <v>532</v>
      </c>
      <c r="C14" s="1" t="s">
        <v>535</v>
      </c>
      <c r="D14" s="1" t="s">
        <v>536</v>
      </c>
      <c r="E14" s="1">
        <v>110</v>
      </c>
      <c r="G14" s="1">
        <v>0</v>
      </c>
      <c r="H14" s="1">
        <v>0</v>
      </c>
      <c r="J14" s="1">
        <v>0</v>
      </c>
      <c r="K14" s="1">
        <f t="shared" ref="K14:K15" si="4">J14*E14</f>
        <v>0</v>
      </c>
      <c r="M14" s="1">
        <v>1</v>
      </c>
      <c r="N14" s="1">
        <f t="shared" si="1"/>
        <v>110</v>
      </c>
      <c r="P14" s="1">
        <v>0</v>
      </c>
      <c r="Q14" s="1">
        <f t="shared" si="2"/>
        <v>0</v>
      </c>
    </row>
    <row r="15" spans="1:17" x14ac:dyDescent="0.25">
      <c r="A15" s="31" t="s">
        <v>557</v>
      </c>
      <c r="B15" s="49" t="s">
        <v>581</v>
      </c>
      <c r="C15" s="1" t="s">
        <v>538</v>
      </c>
      <c r="D15" s="1" t="s">
        <v>539</v>
      </c>
      <c r="E15" s="1">
        <v>530</v>
      </c>
      <c r="G15" s="1">
        <v>0</v>
      </c>
      <c r="H15" s="1">
        <v>0</v>
      </c>
      <c r="J15" s="1">
        <v>0</v>
      </c>
      <c r="K15" s="1">
        <f t="shared" si="4"/>
        <v>0</v>
      </c>
      <c r="M15" s="1">
        <v>0</v>
      </c>
      <c r="N15" s="1">
        <f t="shared" si="1"/>
        <v>0</v>
      </c>
      <c r="P15" s="1">
        <v>1</v>
      </c>
      <c r="Q15" s="1">
        <f t="shared" si="2"/>
        <v>530</v>
      </c>
    </row>
    <row r="16" spans="1:17" x14ac:dyDescent="0.25">
      <c r="A16" s="31" t="s">
        <v>558</v>
      </c>
      <c r="B16" s="49" t="s">
        <v>766</v>
      </c>
      <c r="C16" s="1" t="s">
        <v>541</v>
      </c>
      <c r="D16" s="1" t="s">
        <v>542</v>
      </c>
      <c r="E16" s="1">
        <v>160</v>
      </c>
      <c r="G16" s="1">
        <v>0</v>
      </c>
      <c r="H16" s="1">
        <v>0</v>
      </c>
      <c r="J16" s="1">
        <v>0</v>
      </c>
      <c r="K16" s="1">
        <v>0</v>
      </c>
      <c r="M16" s="1">
        <v>0</v>
      </c>
      <c r="N16" s="1">
        <v>0</v>
      </c>
      <c r="P16" s="1">
        <v>1</v>
      </c>
      <c r="Q16" s="1">
        <f t="shared" si="2"/>
        <v>160</v>
      </c>
    </row>
    <row r="17" spans="1:17" x14ac:dyDescent="0.25">
      <c r="A17" s="31"/>
      <c r="B17" s="31"/>
      <c r="C17" s="1"/>
      <c r="D17" s="1"/>
      <c r="E17" s="1"/>
      <c r="G17" s="1"/>
      <c r="H17" s="1"/>
      <c r="J17" s="1"/>
      <c r="K17" s="1"/>
      <c r="M17" s="1"/>
      <c r="N17" s="1"/>
      <c r="P17" s="1"/>
      <c r="Q17" s="1"/>
    </row>
    <row r="18" spans="1:17" x14ac:dyDescent="0.25">
      <c r="A18" s="31"/>
      <c r="B18" s="31"/>
      <c r="C18" s="7" t="s">
        <v>151</v>
      </c>
      <c r="D18" s="1"/>
      <c r="E18" s="1"/>
      <c r="G18" s="1"/>
      <c r="H18" s="1"/>
      <c r="J18" s="1"/>
      <c r="K18" s="1"/>
      <c r="M18" s="1"/>
      <c r="N18" s="1"/>
      <c r="P18" s="1"/>
      <c r="Q18" s="1"/>
    </row>
    <row r="19" spans="1:17" x14ac:dyDescent="0.25">
      <c r="A19" s="31" t="s">
        <v>563</v>
      </c>
      <c r="B19" s="31"/>
      <c r="C19" s="1" t="s">
        <v>271</v>
      </c>
      <c r="D19" s="1"/>
      <c r="E19" s="1"/>
      <c r="G19" s="1"/>
      <c r="H19" s="1">
        <v>5</v>
      </c>
      <c r="I19" s="4"/>
      <c r="J19" s="1"/>
      <c r="K19" s="1">
        <v>5</v>
      </c>
      <c r="M19" s="1"/>
      <c r="N19" s="1">
        <v>5</v>
      </c>
      <c r="P19" s="1"/>
      <c r="Q19" s="1">
        <v>5</v>
      </c>
    </row>
    <row r="20" spans="1:17" x14ac:dyDescent="0.25">
      <c r="A20" s="31" t="s">
        <v>564</v>
      </c>
      <c r="B20" s="31"/>
      <c r="C20" s="1" t="s">
        <v>173</v>
      </c>
      <c r="D20" s="1"/>
      <c r="E20" s="1"/>
      <c r="G20" s="1"/>
      <c r="H20" s="1">
        <v>20.5</v>
      </c>
      <c r="I20" s="4"/>
      <c r="J20" s="1"/>
      <c r="K20" s="1">
        <v>30</v>
      </c>
      <c r="M20" s="1"/>
      <c r="N20" s="1">
        <v>60</v>
      </c>
      <c r="P20" s="1">
        <v>0</v>
      </c>
      <c r="Q20" s="1">
        <v>100</v>
      </c>
    </row>
    <row r="21" spans="1:17" x14ac:dyDescent="0.25">
      <c r="A21" s="31"/>
      <c r="B21" s="31"/>
      <c r="C21" s="1"/>
      <c r="D21" s="1"/>
      <c r="E21" s="1"/>
      <c r="G21" s="1"/>
      <c r="H21" s="1"/>
      <c r="I21" s="4"/>
      <c r="J21" s="1"/>
      <c r="K21" s="1"/>
      <c r="M21" s="1"/>
      <c r="N21" s="1"/>
      <c r="P21" s="1"/>
      <c r="Q21" s="1"/>
    </row>
    <row r="22" spans="1:17" s="14" customFormat="1" x14ac:dyDescent="0.25">
      <c r="A22" s="40"/>
      <c r="B22" s="40"/>
      <c r="C22" s="7" t="s">
        <v>540</v>
      </c>
      <c r="D22" s="7"/>
      <c r="E22" s="7"/>
      <c r="G22" s="7"/>
      <c r="H22" s="7">
        <f>SUM(H7:H21)</f>
        <v>210.5</v>
      </c>
      <c r="I22" s="30"/>
      <c r="J22" s="7"/>
      <c r="K22" s="7">
        <v>350</v>
      </c>
      <c r="M22" s="7"/>
      <c r="N22" s="7">
        <f>SUM(N7:N21)</f>
        <v>673</v>
      </c>
      <c r="P22" s="7"/>
      <c r="Q22" s="7">
        <f>SUM(Q7:Q21)</f>
        <v>1708</v>
      </c>
    </row>
    <row r="23" spans="1:17" x14ac:dyDescent="0.25">
      <c r="A23" s="1"/>
      <c r="B23" s="1"/>
      <c r="C23" s="1"/>
      <c r="D23" s="1"/>
      <c r="E23" s="1"/>
      <c r="G23" s="1"/>
      <c r="H23" s="1"/>
      <c r="I23" s="4"/>
      <c r="J23" s="1"/>
      <c r="K23" s="1"/>
      <c r="M23" s="1"/>
      <c r="N23" s="1"/>
      <c r="P23" s="1"/>
      <c r="Q23" s="1"/>
    </row>
    <row r="24" spans="1:17" s="14" customFormat="1" x14ac:dyDescent="0.25">
      <c r="A24" s="7"/>
      <c r="B24" s="7"/>
      <c r="C24" s="7"/>
      <c r="D24" s="7"/>
      <c r="E24" s="7"/>
      <c r="G24" s="7"/>
      <c r="H24" s="7"/>
      <c r="I24" s="30"/>
      <c r="J24" s="7"/>
      <c r="K24" s="7"/>
      <c r="M24" s="7"/>
      <c r="N24" s="7"/>
      <c r="P24" s="7"/>
      <c r="Q24" s="7"/>
    </row>
    <row r="25" spans="1:17" x14ac:dyDescent="0.25">
      <c r="A25" s="9"/>
      <c r="B25" s="9"/>
      <c r="C25" s="1"/>
      <c r="D25" s="1"/>
      <c r="E25" s="1"/>
      <c r="G25" s="9"/>
      <c r="H25" s="9"/>
      <c r="I25" s="8"/>
      <c r="J25" s="9"/>
      <c r="K25" s="9"/>
      <c r="L25" s="8"/>
      <c r="M25" s="9"/>
      <c r="N25" s="1"/>
      <c r="P25" s="9"/>
      <c r="Q25" s="1"/>
    </row>
    <row r="26" spans="1:17" x14ac:dyDescent="0.25">
      <c r="A26" t="s">
        <v>527</v>
      </c>
    </row>
    <row r="27" spans="1:17" x14ac:dyDescent="0.25">
      <c r="A27" s="27">
        <v>118</v>
      </c>
      <c r="B27" s="27"/>
      <c r="C27" t="s">
        <v>530</v>
      </c>
    </row>
    <row r="28" spans="1:17" x14ac:dyDescent="0.25">
      <c r="A28" s="41">
        <v>1.19120121123124E+17</v>
      </c>
      <c r="B28" s="41"/>
      <c r="C28" t="s">
        <v>532</v>
      </c>
    </row>
    <row r="29" spans="1:17" x14ac:dyDescent="0.25">
      <c r="A29">
        <v>126</v>
      </c>
      <c r="C29" t="s">
        <v>581</v>
      </c>
    </row>
    <row r="30" spans="1:17" x14ac:dyDescent="0.25">
      <c r="A30">
        <v>127</v>
      </c>
      <c r="C30" t="s">
        <v>582</v>
      </c>
    </row>
  </sheetData>
  <mergeCells count="4">
    <mergeCell ref="G4:H4"/>
    <mergeCell ref="J4:K4"/>
    <mergeCell ref="M4:N4"/>
    <mergeCell ref="P4:Q4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3206-55BA-4A60-B675-481D29D5AFB7}">
  <dimension ref="A1:Q72"/>
  <sheetViews>
    <sheetView topLeftCell="B1" workbookViewId="0">
      <selection activeCell="C7" sqref="C7"/>
    </sheetView>
  </sheetViews>
  <sheetFormatPr defaultRowHeight="15" x14ac:dyDescent="0.25"/>
  <cols>
    <col min="1" max="1" width="23.28515625" customWidth="1"/>
    <col min="2" max="2" width="18.7109375" customWidth="1"/>
    <col min="3" max="3" width="16.140625" customWidth="1"/>
    <col min="4" max="4" width="53.42578125" customWidth="1"/>
    <col min="5" max="5" width="46" customWidth="1"/>
  </cols>
  <sheetData>
    <row r="1" spans="1:17" x14ac:dyDescent="0.25">
      <c r="A1" s="14" t="s">
        <v>198</v>
      </c>
      <c r="B1" s="14"/>
      <c r="C1" s="14"/>
      <c r="D1" s="14" t="s">
        <v>375</v>
      </c>
    </row>
    <row r="2" spans="1:17" x14ac:dyDescent="0.25">
      <c r="A2" s="14" t="s">
        <v>195</v>
      </c>
      <c r="B2" s="14"/>
      <c r="C2" s="14"/>
      <c r="D2" s="14" t="s">
        <v>418</v>
      </c>
      <c r="E2" t="s">
        <v>147</v>
      </c>
    </row>
    <row r="3" spans="1:17" x14ac:dyDescent="0.25">
      <c r="A3" s="14"/>
      <c r="B3" s="14"/>
      <c r="C3" s="14"/>
      <c r="D3" s="14"/>
    </row>
    <row r="4" spans="1:17" x14ac:dyDescent="0.25">
      <c r="A4" s="14"/>
      <c r="B4" s="14"/>
      <c r="C4" s="14"/>
    </row>
    <row r="5" spans="1:17" ht="15.75" thickBot="1" x14ac:dyDescent="0.3"/>
    <row r="6" spans="1:17" ht="15.75" thickBot="1" x14ac:dyDescent="0.3">
      <c r="A6" s="7" t="s">
        <v>617</v>
      </c>
      <c r="B6" s="14"/>
      <c r="C6" s="14"/>
      <c r="D6" s="28"/>
      <c r="E6" s="14" t="s">
        <v>159</v>
      </c>
      <c r="F6" s="29">
        <v>0.4</v>
      </c>
      <c r="H6" s="35" t="s">
        <v>424</v>
      </c>
      <c r="I6" s="11" t="s">
        <v>425</v>
      </c>
      <c r="J6" s="12"/>
      <c r="K6" s="33" t="s">
        <v>426</v>
      </c>
      <c r="M6" s="58" t="s">
        <v>394</v>
      </c>
      <c r="N6" s="59"/>
      <c r="O6" s="32"/>
      <c r="P6" s="58" t="s">
        <v>392</v>
      </c>
      <c r="Q6" s="59"/>
    </row>
    <row r="7" spans="1:17" x14ac:dyDescent="0.25">
      <c r="B7" s="7" t="s">
        <v>331</v>
      </c>
      <c r="C7" s="7" t="s">
        <v>527</v>
      </c>
      <c r="D7" s="7" t="s">
        <v>158</v>
      </c>
      <c r="E7" s="7" t="s">
        <v>153</v>
      </c>
      <c r="F7" s="7" t="s">
        <v>3</v>
      </c>
      <c r="H7" s="15" t="s">
        <v>4</v>
      </c>
      <c r="I7" s="15" t="s">
        <v>5</v>
      </c>
      <c r="J7" s="15"/>
      <c r="K7" s="15"/>
      <c r="M7" s="15" t="s">
        <v>4</v>
      </c>
      <c r="N7" s="15" t="s">
        <v>5</v>
      </c>
      <c r="O7" s="14"/>
      <c r="P7" s="15" t="s">
        <v>4</v>
      </c>
      <c r="Q7" s="15" t="s">
        <v>5</v>
      </c>
    </row>
    <row r="8" spans="1:17" x14ac:dyDescent="0.25">
      <c r="B8" s="1"/>
      <c r="C8" s="1"/>
      <c r="D8" s="7"/>
      <c r="E8" s="7"/>
      <c r="F8" s="7"/>
      <c r="H8" s="15"/>
      <c r="I8" s="15"/>
      <c r="J8" s="7"/>
      <c r="K8" s="7"/>
      <c r="M8" s="15"/>
      <c r="N8" s="15"/>
      <c r="O8" s="14"/>
      <c r="P8" s="15"/>
      <c r="Q8" s="15"/>
    </row>
    <row r="9" spans="1:17" x14ac:dyDescent="0.25">
      <c r="A9" s="27"/>
      <c r="B9" s="31"/>
      <c r="C9" s="27"/>
      <c r="D9" s="14" t="s">
        <v>421</v>
      </c>
      <c r="E9" s="1"/>
      <c r="F9" s="1"/>
      <c r="H9" s="1"/>
      <c r="I9" s="1"/>
      <c r="J9" s="1"/>
      <c r="K9" s="1"/>
      <c r="M9" s="1"/>
      <c r="N9" s="1"/>
      <c r="P9" s="1"/>
      <c r="Q9" s="1"/>
    </row>
    <row r="10" spans="1:17" x14ac:dyDescent="0.25">
      <c r="A10" s="27"/>
      <c r="B10" s="31" t="s">
        <v>623</v>
      </c>
      <c r="C10" s="31"/>
      <c r="D10" s="1" t="s">
        <v>420</v>
      </c>
      <c r="E10" s="1" t="s">
        <v>586</v>
      </c>
      <c r="F10" s="1">
        <v>70</v>
      </c>
      <c r="H10" s="1">
        <v>1</v>
      </c>
      <c r="I10" s="1">
        <f>F10*H10</f>
        <v>70</v>
      </c>
      <c r="J10" s="1">
        <v>0</v>
      </c>
      <c r="K10" s="1">
        <f>F10*J10</f>
        <v>0</v>
      </c>
      <c r="M10" s="1">
        <v>0</v>
      </c>
      <c r="N10" s="1">
        <f>M10*F10</f>
        <v>0</v>
      </c>
      <c r="P10" s="1">
        <v>0</v>
      </c>
      <c r="Q10" s="1">
        <f>F10*P10</f>
        <v>0</v>
      </c>
    </row>
    <row r="11" spans="1:17" x14ac:dyDescent="0.25">
      <c r="A11" s="27"/>
      <c r="B11" s="31" t="s">
        <v>624</v>
      </c>
      <c r="C11" s="31"/>
      <c r="D11" s="1" t="s">
        <v>420</v>
      </c>
      <c r="E11" s="1" t="s">
        <v>413</v>
      </c>
      <c r="F11" s="1">
        <v>70</v>
      </c>
      <c r="H11" s="1">
        <v>0</v>
      </c>
      <c r="I11" s="1">
        <f t="shared" ref="I11:I42" si="0">F11*H11</f>
        <v>0</v>
      </c>
      <c r="J11" s="1">
        <v>0</v>
      </c>
      <c r="K11" s="1">
        <f t="shared" ref="K11:K42" si="1">F11*J11</f>
        <v>0</v>
      </c>
      <c r="M11" s="1">
        <v>0</v>
      </c>
      <c r="N11" s="1">
        <f t="shared" ref="N11:N44" si="2">M11*F11</f>
        <v>0</v>
      </c>
      <c r="P11" s="1">
        <v>0</v>
      </c>
      <c r="Q11" s="1">
        <f t="shared" ref="Q11:Q44" si="3">F11*P11</f>
        <v>0</v>
      </c>
    </row>
    <row r="12" spans="1:17" x14ac:dyDescent="0.25">
      <c r="A12" s="27"/>
      <c r="B12" s="31" t="s">
        <v>625</v>
      </c>
      <c r="C12" s="31"/>
      <c r="D12" s="1" t="s">
        <v>420</v>
      </c>
      <c r="E12" s="1" t="s">
        <v>414</v>
      </c>
      <c r="F12" s="1">
        <v>70</v>
      </c>
      <c r="H12" s="1">
        <v>0</v>
      </c>
      <c r="I12" s="1">
        <f t="shared" si="0"/>
        <v>0</v>
      </c>
      <c r="J12" s="1">
        <v>0</v>
      </c>
      <c r="K12" s="1">
        <f t="shared" si="1"/>
        <v>0</v>
      </c>
      <c r="M12" s="1">
        <v>0</v>
      </c>
      <c r="N12" s="1">
        <f t="shared" si="2"/>
        <v>0</v>
      </c>
      <c r="P12" s="1">
        <v>0</v>
      </c>
      <c r="Q12" s="1">
        <f t="shared" si="3"/>
        <v>0</v>
      </c>
    </row>
    <row r="13" spans="1:17" x14ac:dyDescent="0.25">
      <c r="A13" s="27"/>
      <c r="B13" s="31" t="s">
        <v>626</v>
      </c>
      <c r="C13" s="31"/>
      <c r="D13" s="1" t="s">
        <v>417</v>
      </c>
      <c r="E13" s="1" t="s">
        <v>423</v>
      </c>
      <c r="F13" s="1">
        <v>70</v>
      </c>
      <c r="H13" s="1">
        <v>0</v>
      </c>
      <c r="I13" s="1">
        <f t="shared" si="0"/>
        <v>0</v>
      </c>
      <c r="J13" s="1">
        <v>0</v>
      </c>
      <c r="K13" s="1">
        <f t="shared" si="1"/>
        <v>0</v>
      </c>
      <c r="M13" s="1">
        <v>0</v>
      </c>
      <c r="N13" s="1">
        <f t="shared" si="2"/>
        <v>0</v>
      </c>
      <c r="P13" s="1">
        <v>0</v>
      </c>
      <c r="Q13" s="1">
        <f t="shared" si="3"/>
        <v>0</v>
      </c>
    </row>
    <row r="14" spans="1:17" x14ac:dyDescent="0.25">
      <c r="A14" s="27"/>
      <c r="B14" s="31" t="s">
        <v>627</v>
      </c>
      <c r="C14" s="31"/>
      <c r="D14" s="1" t="s">
        <v>419</v>
      </c>
      <c r="E14" s="1" t="s">
        <v>423</v>
      </c>
      <c r="F14" s="1">
        <v>70</v>
      </c>
      <c r="H14" s="1">
        <v>0</v>
      </c>
      <c r="I14" s="1">
        <f t="shared" si="0"/>
        <v>0</v>
      </c>
      <c r="J14" s="1">
        <v>0</v>
      </c>
      <c r="K14" s="1">
        <f t="shared" si="1"/>
        <v>0</v>
      </c>
      <c r="M14" s="1">
        <v>0</v>
      </c>
      <c r="N14" s="1">
        <f t="shared" si="2"/>
        <v>0</v>
      </c>
      <c r="P14" s="1">
        <v>0</v>
      </c>
      <c r="Q14" s="1">
        <f t="shared" si="3"/>
        <v>0</v>
      </c>
    </row>
    <row r="15" spans="1:17" x14ac:dyDescent="0.25">
      <c r="A15" s="27"/>
      <c r="B15" s="31" t="s">
        <v>628</v>
      </c>
      <c r="C15" s="31"/>
      <c r="D15" s="1" t="s">
        <v>416</v>
      </c>
      <c r="E15" s="1"/>
      <c r="F15" s="1">
        <v>250</v>
      </c>
      <c r="H15" s="1">
        <v>0</v>
      </c>
      <c r="I15" s="1">
        <f t="shared" si="0"/>
        <v>0</v>
      </c>
      <c r="J15" s="1">
        <v>0</v>
      </c>
      <c r="K15" s="1">
        <f t="shared" si="1"/>
        <v>0</v>
      </c>
      <c r="M15" s="1">
        <v>1</v>
      </c>
      <c r="N15" s="1">
        <f t="shared" si="2"/>
        <v>250</v>
      </c>
      <c r="P15" s="1">
        <v>1</v>
      </c>
      <c r="Q15" s="1">
        <f t="shared" si="3"/>
        <v>250</v>
      </c>
    </row>
    <row r="16" spans="1:17" x14ac:dyDescent="0.25">
      <c r="A16" s="27"/>
      <c r="B16" s="31" t="s">
        <v>629</v>
      </c>
      <c r="C16" s="31"/>
      <c r="D16" s="1" t="s">
        <v>415</v>
      </c>
      <c r="E16" s="1"/>
      <c r="F16" s="1">
        <v>300</v>
      </c>
      <c r="H16" s="1">
        <v>0</v>
      </c>
      <c r="I16" s="1">
        <f t="shared" si="0"/>
        <v>0</v>
      </c>
      <c r="J16" s="1">
        <v>0</v>
      </c>
      <c r="K16" s="1">
        <v>0</v>
      </c>
      <c r="M16" s="1">
        <v>0</v>
      </c>
      <c r="N16" s="1">
        <f t="shared" si="2"/>
        <v>0</v>
      </c>
      <c r="P16" s="1">
        <v>0</v>
      </c>
      <c r="Q16" s="1">
        <f t="shared" si="3"/>
        <v>0</v>
      </c>
    </row>
    <row r="17" spans="1:17" x14ac:dyDescent="0.25">
      <c r="A17" s="27"/>
      <c r="B17" s="31"/>
      <c r="C17" s="31"/>
      <c r="D17" s="1"/>
      <c r="E17" s="1"/>
      <c r="F17" s="1"/>
      <c r="H17" s="1"/>
      <c r="I17" s="1"/>
      <c r="J17" s="1"/>
      <c r="K17" s="1"/>
      <c r="M17" s="1"/>
      <c r="N17" s="1"/>
      <c r="P17" s="1">
        <v>0</v>
      </c>
      <c r="Q17" s="1">
        <f t="shared" si="3"/>
        <v>0</v>
      </c>
    </row>
    <row r="18" spans="1:17" x14ac:dyDescent="0.25">
      <c r="A18" s="27"/>
      <c r="B18" s="31"/>
      <c r="C18" s="27"/>
      <c r="D18" s="34" t="s">
        <v>422</v>
      </c>
      <c r="E18" s="1"/>
      <c r="F18" s="1"/>
      <c r="H18" s="1"/>
      <c r="I18" s="1"/>
      <c r="J18" s="1"/>
      <c r="K18" s="1"/>
      <c r="M18" s="1"/>
      <c r="N18" s="1"/>
      <c r="P18" s="1">
        <v>0</v>
      </c>
      <c r="Q18" s="1">
        <f t="shared" si="3"/>
        <v>0</v>
      </c>
    </row>
    <row r="19" spans="1:17" x14ac:dyDescent="0.25">
      <c r="A19" s="27"/>
      <c r="B19" s="31" t="s">
        <v>630</v>
      </c>
      <c r="C19" s="31"/>
      <c r="D19" s="1" t="s">
        <v>605</v>
      </c>
      <c r="E19" s="1" t="s">
        <v>604</v>
      </c>
      <c r="F19" s="1">
        <v>120</v>
      </c>
      <c r="H19" s="1">
        <v>0</v>
      </c>
      <c r="I19" s="1">
        <f t="shared" si="0"/>
        <v>0</v>
      </c>
      <c r="J19" s="1">
        <v>1</v>
      </c>
      <c r="K19" s="1">
        <f t="shared" si="1"/>
        <v>120</v>
      </c>
      <c r="M19" s="1">
        <v>0</v>
      </c>
      <c r="N19" s="1">
        <f t="shared" si="2"/>
        <v>0</v>
      </c>
      <c r="P19" s="1">
        <v>0</v>
      </c>
      <c r="Q19" s="1">
        <f t="shared" si="3"/>
        <v>0</v>
      </c>
    </row>
    <row r="20" spans="1:17" x14ac:dyDescent="0.25">
      <c r="A20" s="27"/>
      <c r="B20" s="31" t="s">
        <v>631</v>
      </c>
      <c r="C20" s="31"/>
      <c r="D20" s="1" t="s">
        <v>605</v>
      </c>
      <c r="E20" s="1" t="s">
        <v>606</v>
      </c>
      <c r="F20" s="1">
        <v>100</v>
      </c>
      <c r="H20" s="1"/>
      <c r="I20" s="1"/>
      <c r="J20" s="1"/>
      <c r="K20" s="1"/>
      <c r="M20" s="1"/>
      <c r="N20" s="1"/>
      <c r="P20" s="1">
        <v>0</v>
      </c>
      <c r="Q20" s="1">
        <f t="shared" si="3"/>
        <v>0</v>
      </c>
    </row>
    <row r="21" spans="1:17" x14ac:dyDescent="0.25">
      <c r="A21" s="27"/>
      <c r="B21" s="31" t="s">
        <v>632</v>
      </c>
      <c r="C21" s="31"/>
      <c r="D21" s="1" t="s">
        <v>608</v>
      </c>
      <c r="E21" s="1" t="s">
        <v>607</v>
      </c>
      <c r="F21" s="1">
        <v>100</v>
      </c>
      <c r="H21" s="1"/>
      <c r="I21" s="1"/>
      <c r="J21" s="1"/>
      <c r="K21" s="1"/>
      <c r="M21" s="1"/>
      <c r="N21" s="1"/>
      <c r="P21" s="1"/>
      <c r="Q21" s="1"/>
    </row>
    <row r="22" spans="1:17" x14ac:dyDescent="0.25">
      <c r="A22" s="27"/>
      <c r="B22" s="31" t="s">
        <v>633</v>
      </c>
      <c r="C22" s="31"/>
      <c r="D22" s="1" t="s">
        <v>608</v>
      </c>
      <c r="E22" s="1" t="s">
        <v>609</v>
      </c>
      <c r="F22" s="1">
        <v>100</v>
      </c>
      <c r="H22" s="1"/>
      <c r="I22" s="1"/>
      <c r="J22" s="1"/>
      <c r="K22" s="1"/>
      <c r="M22" s="1"/>
      <c r="N22" s="1"/>
      <c r="P22" s="1"/>
      <c r="Q22" s="1"/>
    </row>
    <row r="23" spans="1:17" x14ac:dyDescent="0.25">
      <c r="A23" s="27"/>
      <c r="B23" s="31" t="s">
        <v>634</v>
      </c>
      <c r="C23" s="31"/>
      <c r="D23" s="1" t="s">
        <v>608</v>
      </c>
      <c r="E23" s="1" t="s">
        <v>610</v>
      </c>
      <c r="F23" s="1">
        <v>100</v>
      </c>
      <c r="H23" s="1"/>
      <c r="I23" s="1"/>
      <c r="J23" s="1"/>
      <c r="K23" s="1"/>
      <c r="M23" s="1"/>
      <c r="N23" s="1"/>
      <c r="P23" s="1"/>
      <c r="Q23" s="1"/>
    </row>
    <row r="24" spans="1:17" x14ac:dyDescent="0.25">
      <c r="A24" s="27"/>
      <c r="B24" s="31" t="s">
        <v>635</v>
      </c>
      <c r="C24" s="31"/>
      <c r="D24" s="1" t="s">
        <v>608</v>
      </c>
      <c r="E24" s="1" t="s">
        <v>611</v>
      </c>
      <c r="F24" s="1">
        <v>100</v>
      </c>
      <c r="H24" s="1"/>
      <c r="I24" s="1"/>
      <c r="J24" s="1"/>
      <c r="K24" s="1"/>
      <c r="M24" s="1"/>
      <c r="N24" s="1"/>
      <c r="P24" s="1"/>
      <c r="Q24" s="1"/>
    </row>
    <row r="25" spans="1:17" x14ac:dyDescent="0.25">
      <c r="A25" s="27"/>
      <c r="B25" s="31"/>
      <c r="C25" s="31"/>
      <c r="D25" s="1"/>
      <c r="E25" s="1"/>
      <c r="F25" s="1"/>
      <c r="H25" s="1"/>
      <c r="I25" s="1"/>
      <c r="J25" s="1"/>
      <c r="K25" s="1"/>
      <c r="M25" s="1"/>
      <c r="N25" s="1"/>
      <c r="P25" s="1">
        <v>0</v>
      </c>
      <c r="Q25" s="1">
        <f t="shared" si="3"/>
        <v>0</v>
      </c>
    </row>
    <row r="26" spans="1:17" x14ac:dyDescent="0.25">
      <c r="A26" s="27"/>
      <c r="B26" s="31"/>
      <c r="C26" s="31"/>
      <c r="D26" s="7" t="s">
        <v>583</v>
      </c>
      <c r="E26" s="1"/>
      <c r="F26" s="1"/>
      <c r="H26" s="1"/>
      <c r="I26" s="1"/>
      <c r="J26" s="1"/>
      <c r="K26" s="1"/>
      <c r="M26" s="1"/>
      <c r="N26" s="1"/>
      <c r="P26" s="1">
        <v>0</v>
      </c>
      <c r="Q26" s="1">
        <f t="shared" si="3"/>
        <v>0</v>
      </c>
    </row>
    <row r="27" spans="1:17" x14ac:dyDescent="0.25">
      <c r="A27" s="27"/>
      <c r="B27" s="31" t="s">
        <v>636</v>
      </c>
      <c r="C27" s="31"/>
      <c r="D27" s="1" t="s">
        <v>406</v>
      </c>
      <c r="E27" s="1"/>
      <c r="F27" s="1">
        <v>50</v>
      </c>
      <c r="H27" s="1">
        <v>1</v>
      </c>
      <c r="I27" s="1">
        <f t="shared" si="0"/>
        <v>50</v>
      </c>
      <c r="J27" s="1">
        <v>0</v>
      </c>
      <c r="K27" s="1">
        <f t="shared" si="1"/>
        <v>0</v>
      </c>
      <c r="M27" s="1">
        <v>1</v>
      </c>
      <c r="N27" s="1">
        <f t="shared" si="2"/>
        <v>50</v>
      </c>
      <c r="P27" s="1">
        <v>1</v>
      </c>
      <c r="Q27" s="1">
        <f t="shared" si="3"/>
        <v>50</v>
      </c>
    </row>
    <row r="28" spans="1:17" x14ac:dyDescent="0.25">
      <c r="A28" s="27"/>
      <c r="B28" s="31" t="s">
        <v>637</v>
      </c>
      <c r="C28" s="31"/>
      <c r="D28" s="1" t="s">
        <v>407</v>
      </c>
      <c r="E28" s="1"/>
      <c r="F28" s="1">
        <v>50</v>
      </c>
      <c r="H28" s="1">
        <v>0</v>
      </c>
      <c r="I28" s="1">
        <f t="shared" si="0"/>
        <v>0</v>
      </c>
      <c r="J28" s="1">
        <v>0</v>
      </c>
      <c r="K28" s="1">
        <f t="shared" si="1"/>
        <v>0</v>
      </c>
      <c r="M28" s="1">
        <v>0</v>
      </c>
      <c r="N28" s="1">
        <f t="shared" si="2"/>
        <v>0</v>
      </c>
      <c r="P28" s="1">
        <v>0</v>
      </c>
      <c r="Q28" s="1">
        <f t="shared" si="3"/>
        <v>0</v>
      </c>
    </row>
    <row r="29" spans="1:17" x14ac:dyDescent="0.25">
      <c r="A29" s="27"/>
      <c r="B29" s="31"/>
      <c r="C29" s="31"/>
      <c r="D29" s="1"/>
      <c r="E29" s="1"/>
      <c r="F29" s="1"/>
      <c r="H29" s="1"/>
      <c r="I29" s="1"/>
      <c r="J29" s="1"/>
      <c r="K29" s="1"/>
      <c r="M29" s="1"/>
      <c r="N29" s="1"/>
      <c r="P29" s="1">
        <v>0</v>
      </c>
      <c r="Q29" s="1">
        <f t="shared" si="3"/>
        <v>0</v>
      </c>
    </row>
    <row r="30" spans="1:17" x14ac:dyDescent="0.25">
      <c r="A30" s="27"/>
      <c r="B30" s="31"/>
      <c r="C30" s="31"/>
      <c r="D30" s="1"/>
      <c r="E30" s="1"/>
      <c r="F30" s="1"/>
      <c r="H30" s="1"/>
      <c r="I30" s="1"/>
      <c r="J30" s="1"/>
      <c r="K30" s="1"/>
      <c r="M30" s="1"/>
      <c r="N30" s="1"/>
      <c r="P30" s="1">
        <v>0</v>
      </c>
      <c r="Q30" s="1">
        <f t="shared" si="3"/>
        <v>0</v>
      </c>
    </row>
    <row r="31" spans="1:17" x14ac:dyDescent="0.25">
      <c r="A31" s="27"/>
      <c r="B31" s="31"/>
      <c r="C31" s="31"/>
      <c r="D31" s="7" t="s">
        <v>584</v>
      </c>
      <c r="E31" s="1"/>
      <c r="F31" s="1"/>
      <c r="H31" s="1"/>
      <c r="I31" s="1"/>
      <c r="J31" s="1"/>
      <c r="K31" s="1"/>
      <c r="M31" s="1"/>
      <c r="N31" s="1"/>
      <c r="P31" s="1">
        <v>0</v>
      </c>
      <c r="Q31" s="1">
        <f t="shared" si="3"/>
        <v>0</v>
      </c>
    </row>
    <row r="32" spans="1:17" x14ac:dyDescent="0.25">
      <c r="A32" s="27"/>
      <c r="B32" s="31"/>
      <c r="C32" s="31"/>
      <c r="D32" s="1" t="s">
        <v>409</v>
      </c>
      <c r="E32" s="1" t="s">
        <v>410</v>
      </c>
      <c r="F32" s="1">
        <v>0</v>
      </c>
      <c r="H32" s="1">
        <v>0</v>
      </c>
      <c r="I32" s="1">
        <f t="shared" si="0"/>
        <v>0</v>
      </c>
      <c r="J32" s="1">
        <v>0</v>
      </c>
      <c r="K32" s="1">
        <f t="shared" si="1"/>
        <v>0</v>
      </c>
      <c r="M32" s="1">
        <v>0</v>
      </c>
      <c r="N32" s="1">
        <f t="shared" si="2"/>
        <v>0</v>
      </c>
      <c r="P32" s="1">
        <v>0</v>
      </c>
      <c r="Q32" s="1">
        <f t="shared" si="3"/>
        <v>0</v>
      </c>
    </row>
    <row r="33" spans="1:17" x14ac:dyDescent="0.25">
      <c r="A33" s="27"/>
      <c r="B33" s="31"/>
      <c r="C33" s="31"/>
      <c r="D33" s="1" t="s">
        <v>408</v>
      </c>
      <c r="E33" s="1" t="s">
        <v>410</v>
      </c>
      <c r="F33" s="1">
        <v>4</v>
      </c>
      <c r="H33" s="1">
        <v>0</v>
      </c>
      <c r="I33" s="1">
        <f t="shared" si="0"/>
        <v>0</v>
      </c>
      <c r="J33" s="1">
        <v>0</v>
      </c>
      <c r="K33" s="1">
        <f t="shared" si="1"/>
        <v>0</v>
      </c>
      <c r="M33" s="1">
        <v>0</v>
      </c>
      <c r="N33" s="1">
        <f t="shared" si="2"/>
        <v>0</v>
      </c>
      <c r="P33" s="1">
        <v>0</v>
      </c>
      <c r="Q33" s="1">
        <f t="shared" si="3"/>
        <v>0</v>
      </c>
    </row>
    <row r="34" spans="1:17" x14ac:dyDescent="0.25">
      <c r="A34" s="27"/>
      <c r="B34" s="31"/>
      <c r="C34" s="31"/>
      <c r="D34" s="1" t="s">
        <v>405</v>
      </c>
      <c r="E34" s="1"/>
      <c r="F34" s="1"/>
      <c r="H34" s="1">
        <v>0</v>
      </c>
      <c r="I34" s="1">
        <v>0</v>
      </c>
      <c r="J34" s="1">
        <v>0</v>
      </c>
      <c r="K34" s="1">
        <f t="shared" si="1"/>
        <v>0</v>
      </c>
      <c r="M34" s="1">
        <v>0</v>
      </c>
      <c r="N34" s="1">
        <f t="shared" si="2"/>
        <v>0</v>
      </c>
      <c r="P34" s="1">
        <v>0</v>
      </c>
      <c r="Q34" s="1">
        <f t="shared" si="3"/>
        <v>0</v>
      </c>
    </row>
    <row r="35" spans="1:17" x14ac:dyDescent="0.25">
      <c r="A35" s="27"/>
      <c r="B35" s="31"/>
      <c r="C35" s="31"/>
      <c r="D35" s="1"/>
      <c r="E35" s="1"/>
      <c r="F35" s="1"/>
      <c r="H35" s="1"/>
      <c r="I35" s="1"/>
      <c r="J35" s="1"/>
      <c r="K35" s="1"/>
      <c r="M35" s="1"/>
      <c r="N35" s="1"/>
      <c r="P35" s="1">
        <v>0</v>
      </c>
      <c r="Q35" s="1">
        <f t="shared" si="3"/>
        <v>0</v>
      </c>
    </row>
    <row r="36" spans="1:17" x14ac:dyDescent="0.25">
      <c r="A36" s="27"/>
      <c r="B36" s="31"/>
      <c r="C36" s="31"/>
      <c r="D36" s="7" t="s">
        <v>585</v>
      </c>
      <c r="E36" s="1"/>
      <c r="F36" s="1">
        <v>80</v>
      </c>
      <c r="H36" s="1">
        <v>1</v>
      </c>
      <c r="I36" s="1">
        <f t="shared" si="0"/>
        <v>80</v>
      </c>
      <c r="J36" s="1">
        <v>1</v>
      </c>
      <c r="K36" s="1">
        <f t="shared" si="1"/>
        <v>80</v>
      </c>
      <c r="M36" s="1">
        <v>1</v>
      </c>
      <c r="N36" s="1">
        <f t="shared" si="2"/>
        <v>80</v>
      </c>
      <c r="P36" s="1">
        <v>1</v>
      </c>
      <c r="Q36" s="1">
        <f t="shared" si="3"/>
        <v>80</v>
      </c>
    </row>
    <row r="37" spans="1:17" x14ac:dyDescent="0.25">
      <c r="A37" s="27"/>
      <c r="B37" s="31"/>
      <c r="C37" s="31"/>
      <c r="D37" s="3" t="s">
        <v>587</v>
      </c>
      <c r="E37" s="1"/>
      <c r="F37" s="1"/>
      <c r="H37" s="1"/>
      <c r="I37" s="1"/>
      <c r="J37" s="1"/>
      <c r="K37" s="1"/>
      <c r="M37" s="1">
        <v>0</v>
      </c>
      <c r="N37" s="1">
        <f t="shared" si="2"/>
        <v>0</v>
      </c>
      <c r="P37" s="1">
        <v>0</v>
      </c>
      <c r="Q37" s="1">
        <f t="shared" si="3"/>
        <v>0</v>
      </c>
    </row>
    <row r="38" spans="1:17" x14ac:dyDescent="0.25">
      <c r="A38" s="27"/>
      <c r="B38" s="31" t="s">
        <v>637</v>
      </c>
      <c r="C38" s="31"/>
      <c r="D38" s="1" t="s">
        <v>588</v>
      </c>
      <c r="E38" s="1"/>
      <c r="F38" s="1"/>
      <c r="H38" s="1"/>
      <c r="I38" s="1">
        <f t="shared" si="0"/>
        <v>0</v>
      </c>
      <c r="J38" s="1">
        <v>0</v>
      </c>
      <c r="K38" s="1">
        <f t="shared" si="1"/>
        <v>0</v>
      </c>
      <c r="M38" s="1">
        <v>0</v>
      </c>
      <c r="N38" s="1">
        <f t="shared" si="2"/>
        <v>0</v>
      </c>
      <c r="P38" s="1">
        <v>0</v>
      </c>
      <c r="Q38" s="1">
        <f t="shared" si="3"/>
        <v>0</v>
      </c>
    </row>
    <row r="39" spans="1:17" x14ac:dyDescent="0.25">
      <c r="A39" s="27"/>
      <c r="B39" s="31" t="s">
        <v>638</v>
      </c>
      <c r="C39" s="31"/>
      <c r="D39" s="3" t="s">
        <v>589</v>
      </c>
      <c r="E39" s="1"/>
      <c r="F39" s="1"/>
      <c r="H39" s="1"/>
      <c r="I39" s="1"/>
      <c r="J39" s="1"/>
      <c r="K39" s="1"/>
      <c r="M39" s="1">
        <v>0</v>
      </c>
      <c r="N39" s="1">
        <f t="shared" si="2"/>
        <v>0</v>
      </c>
      <c r="P39" s="1">
        <v>0</v>
      </c>
      <c r="Q39" s="1">
        <f t="shared" si="3"/>
        <v>0</v>
      </c>
    </row>
    <row r="40" spans="1:17" x14ac:dyDescent="0.25">
      <c r="A40" s="27"/>
      <c r="B40" s="31" t="s">
        <v>639</v>
      </c>
      <c r="C40" s="31"/>
      <c r="D40" s="1" t="s">
        <v>590</v>
      </c>
      <c r="E40" s="1"/>
      <c r="F40" s="1"/>
      <c r="H40" s="1"/>
      <c r="I40" s="1">
        <f t="shared" si="0"/>
        <v>0</v>
      </c>
      <c r="J40" s="1">
        <v>0</v>
      </c>
      <c r="K40" s="1">
        <f t="shared" si="1"/>
        <v>0</v>
      </c>
      <c r="M40" s="1">
        <v>0</v>
      </c>
      <c r="N40" s="1">
        <f t="shared" si="2"/>
        <v>0</v>
      </c>
      <c r="P40" s="1">
        <v>0</v>
      </c>
      <c r="Q40" s="1">
        <f t="shared" si="3"/>
        <v>0</v>
      </c>
    </row>
    <row r="41" spans="1:17" x14ac:dyDescent="0.25">
      <c r="A41" s="27"/>
      <c r="B41" s="31" t="s">
        <v>640</v>
      </c>
      <c r="C41" s="31"/>
      <c r="D41" s="3" t="s">
        <v>591</v>
      </c>
      <c r="E41" s="1"/>
      <c r="F41" s="1"/>
      <c r="H41" s="1"/>
      <c r="I41" s="1"/>
      <c r="J41" s="1"/>
      <c r="K41" s="1"/>
      <c r="M41" s="1">
        <v>0</v>
      </c>
      <c r="N41" s="1">
        <f t="shared" si="2"/>
        <v>0</v>
      </c>
      <c r="P41" s="1">
        <v>0</v>
      </c>
      <c r="Q41" s="1">
        <f t="shared" si="3"/>
        <v>0</v>
      </c>
    </row>
    <row r="42" spans="1:17" x14ac:dyDescent="0.25">
      <c r="A42" s="27"/>
      <c r="B42" s="31" t="s">
        <v>641</v>
      </c>
      <c r="C42" s="31"/>
      <c r="D42" s="1" t="s">
        <v>592</v>
      </c>
      <c r="E42" s="1"/>
      <c r="F42" s="1"/>
      <c r="H42" s="1"/>
      <c r="I42" s="1">
        <f t="shared" si="0"/>
        <v>0</v>
      </c>
      <c r="J42" s="1">
        <v>0</v>
      </c>
      <c r="K42" s="1">
        <f t="shared" si="1"/>
        <v>0</v>
      </c>
      <c r="M42" s="1">
        <v>0</v>
      </c>
      <c r="N42" s="1">
        <f t="shared" si="2"/>
        <v>0</v>
      </c>
      <c r="P42" s="1">
        <v>0</v>
      </c>
      <c r="Q42" s="1">
        <f t="shared" si="3"/>
        <v>0</v>
      </c>
    </row>
    <row r="43" spans="1:17" x14ac:dyDescent="0.25">
      <c r="A43" s="27"/>
      <c r="B43" s="31" t="s">
        <v>642</v>
      </c>
      <c r="C43" s="31"/>
      <c r="D43" s="3" t="s">
        <v>593</v>
      </c>
      <c r="E43" s="1"/>
      <c r="F43" s="1"/>
      <c r="H43" s="1"/>
      <c r="I43" s="1"/>
      <c r="J43" s="1"/>
      <c r="K43" s="1"/>
      <c r="M43" s="1">
        <v>0</v>
      </c>
      <c r="N43" s="1">
        <f t="shared" si="2"/>
        <v>0</v>
      </c>
      <c r="P43" s="1">
        <v>0</v>
      </c>
      <c r="Q43" s="1">
        <f t="shared" si="3"/>
        <v>0</v>
      </c>
    </row>
    <row r="44" spans="1:17" x14ac:dyDescent="0.25">
      <c r="A44" s="27"/>
      <c r="B44" s="31" t="s">
        <v>643</v>
      </c>
      <c r="C44" s="31"/>
      <c r="D44" s="1" t="s">
        <v>594</v>
      </c>
      <c r="E44" s="1"/>
      <c r="F44" s="1"/>
      <c r="H44" s="1"/>
      <c r="I44" s="1">
        <v>0</v>
      </c>
      <c r="J44" s="1">
        <v>0</v>
      </c>
      <c r="K44" s="1">
        <v>0</v>
      </c>
      <c r="M44" s="1">
        <v>0</v>
      </c>
      <c r="N44" s="1">
        <f t="shared" si="2"/>
        <v>0</v>
      </c>
      <c r="P44" s="1">
        <v>0</v>
      </c>
      <c r="Q44" s="1">
        <f t="shared" si="3"/>
        <v>0</v>
      </c>
    </row>
    <row r="45" spans="1:17" x14ac:dyDescent="0.25">
      <c r="A45" s="27"/>
      <c r="B45" s="31" t="s">
        <v>644</v>
      </c>
      <c r="C45" s="31"/>
      <c r="D45" s="3" t="s">
        <v>612</v>
      </c>
      <c r="E45" s="1"/>
      <c r="F45" s="1"/>
      <c r="H45" s="1"/>
      <c r="I45" s="1"/>
      <c r="J45" s="1"/>
      <c r="K45" s="1"/>
      <c r="M45" s="1"/>
      <c r="N45" s="1"/>
      <c r="P45" s="1"/>
      <c r="Q45" s="1"/>
    </row>
    <row r="46" spans="1:17" x14ac:dyDescent="0.25">
      <c r="A46" s="27"/>
      <c r="B46" s="31" t="s">
        <v>645</v>
      </c>
      <c r="C46" s="31"/>
      <c r="D46" s="1"/>
      <c r="E46" s="1"/>
      <c r="F46" s="1"/>
      <c r="H46" s="1"/>
      <c r="I46" s="1"/>
      <c r="J46" s="1"/>
      <c r="K46" s="1"/>
      <c r="M46" s="1"/>
      <c r="N46" s="1"/>
      <c r="P46" s="1"/>
      <c r="Q46" s="1"/>
    </row>
    <row r="47" spans="1:17" x14ac:dyDescent="0.25">
      <c r="A47" s="27"/>
      <c r="B47" s="31" t="s">
        <v>646</v>
      </c>
      <c r="C47" s="31"/>
      <c r="D47" s="3" t="s">
        <v>613</v>
      </c>
      <c r="E47" s="1"/>
      <c r="F47" s="1"/>
      <c r="H47" s="1"/>
      <c r="I47" s="1"/>
      <c r="J47" s="1"/>
      <c r="K47" s="1"/>
      <c r="M47" s="1"/>
      <c r="N47" s="1"/>
      <c r="P47" s="1"/>
      <c r="Q47" s="1"/>
    </row>
    <row r="48" spans="1:17" x14ac:dyDescent="0.25">
      <c r="A48" s="27"/>
      <c r="B48" s="31" t="s">
        <v>647</v>
      </c>
      <c r="C48" s="31"/>
      <c r="D48" s="1"/>
      <c r="E48" s="1"/>
      <c r="F48" s="1"/>
      <c r="H48" s="1"/>
      <c r="I48" s="1"/>
      <c r="J48" s="1"/>
      <c r="K48" s="1"/>
      <c r="M48" s="1"/>
      <c r="N48" s="1"/>
      <c r="P48" s="1"/>
      <c r="Q48" s="1"/>
    </row>
    <row r="49" spans="1:17" x14ac:dyDescent="0.25">
      <c r="A49" s="27"/>
      <c r="B49" s="31" t="s">
        <v>648</v>
      </c>
      <c r="C49" s="31"/>
      <c r="D49" s="3" t="s">
        <v>614</v>
      </c>
      <c r="E49" s="1"/>
      <c r="F49" s="1"/>
      <c r="H49" s="1"/>
      <c r="I49" s="1"/>
      <c r="J49" s="1"/>
      <c r="K49" s="1"/>
      <c r="M49" s="1"/>
      <c r="N49" s="1"/>
      <c r="P49" s="1"/>
      <c r="Q49" s="1"/>
    </row>
    <row r="50" spans="1:17" x14ac:dyDescent="0.25">
      <c r="A50" s="27"/>
      <c r="B50" s="31" t="s">
        <v>649</v>
      </c>
      <c r="C50" s="31"/>
      <c r="D50" s="1"/>
      <c r="E50" s="1"/>
      <c r="F50" s="1"/>
      <c r="H50" s="1"/>
      <c r="I50" s="1"/>
      <c r="J50" s="1"/>
      <c r="K50" s="1"/>
      <c r="M50" s="1"/>
      <c r="N50" s="1"/>
      <c r="P50" s="1"/>
      <c r="Q50" s="1"/>
    </row>
    <row r="51" spans="1:17" x14ac:dyDescent="0.25">
      <c r="A51" s="27"/>
      <c r="B51" s="31" t="s">
        <v>650</v>
      </c>
      <c r="C51" s="31"/>
      <c r="D51" s="3" t="s">
        <v>615</v>
      </c>
      <c r="E51" s="1"/>
      <c r="F51" s="1"/>
      <c r="H51" s="1"/>
      <c r="I51" s="1"/>
      <c r="J51" s="1"/>
      <c r="K51" s="1"/>
      <c r="M51" s="1"/>
      <c r="N51" s="1"/>
      <c r="P51" s="1"/>
      <c r="Q51" s="1"/>
    </row>
    <row r="52" spans="1:17" x14ac:dyDescent="0.25">
      <c r="A52" s="27"/>
      <c r="B52" s="31" t="s">
        <v>651</v>
      </c>
      <c r="C52" s="31"/>
      <c r="D52" s="3"/>
      <c r="E52" s="1"/>
      <c r="F52" s="1"/>
      <c r="H52" s="1"/>
      <c r="I52" s="1"/>
      <c r="J52" s="1"/>
      <c r="K52" s="1"/>
      <c r="M52" s="1"/>
      <c r="N52" s="1"/>
      <c r="P52" s="1"/>
      <c r="Q52" s="1"/>
    </row>
    <row r="53" spans="1:17" x14ac:dyDescent="0.25">
      <c r="A53" s="27"/>
      <c r="B53" s="31"/>
      <c r="C53" s="31"/>
      <c r="D53" s="3" t="s">
        <v>616</v>
      </c>
      <c r="E53" s="1"/>
      <c r="F53" s="1"/>
      <c r="H53" s="1"/>
      <c r="I53" s="1"/>
      <c r="J53" s="1"/>
      <c r="K53" s="1"/>
      <c r="M53" s="1"/>
      <c r="N53" s="1"/>
      <c r="P53" s="1"/>
      <c r="Q53" s="1"/>
    </row>
    <row r="54" spans="1:17" x14ac:dyDescent="0.25">
      <c r="A54" s="27"/>
      <c r="B54" s="31"/>
      <c r="C54" s="31"/>
      <c r="D54" s="3"/>
      <c r="E54" s="1"/>
      <c r="F54" s="1"/>
      <c r="H54" s="1"/>
      <c r="I54" s="1"/>
      <c r="J54" s="1"/>
      <c r="K54" s="1"/>
      <c r="M54" s="1"/>
      <c r="N54" s="1"/>
      <c r="P54" s="1"/>
      <c r="Q54" s="1"/>
    </row>
    <row r="55" spans="1:17" x14ac:dyDescent="0.25">
      <c r="A55" s="27"/>
      <c r="B55" s="31"/>
      <c r="C55" s="31"/>
      <c r="D55" s="1"/>
      <c r="E55" s="1"/>
      <c r="F55" s="1"/>
      <c r="H55" s="1"/>
      <c r="I55" s="1"/>
      <c r="J55" s="1"/>
      <c r="K55" s="1"/>
      <c r="M55" s="1"/>
      <c r="N55" s="1"/>
      <c r="P55" s="1"/>
      <c r="Q55" s="1"/>
    </row>
    <row r="56" spans="1:17" x14ac:dyDescent="0.25">
      <c r="A56" s="27"/>
      <c r="B56" s="31"/>
      <c r="C56" s="31"/>
      <c r="D56" s="7" t="s">
        <v>595</v>
      </c>
      <c r="E56" s="1"/>
      <c r="F56" s="1">
        <v>350</v>
      </c>
      <c r="H56" s="1"/>
      <c r="I56" s="1"/>
      <c r="J56" s="1"/>
      <c r="K56" s="1"/>
      <c r="M56" s="1"/>
      <c r="N56" s="1"/>
      <c r="P56" s="1"/>
      <c r="Q56" s="1"/>
    </row>
    <row r="57" spans="1:17" x14ac:dyDescent="0.25">
      <c r="A57" s="27"/>
      <c r="B57" s="31"/>
      <c r="C57" s="31"/>
      <c r="D57" s="3" t="s">
        <v>596</v>
      </c>
      <c r="E57" s="1"/>
      <c r="F57" s="1"/>
      <c r="H57" s="1"/>
      <c r="I57" s="1"/>
      <c r="J57" s="1"/>
      <c r="K57" s="1"/>
      <c r="M57" s="1"/>
      <c r="N57" s="1"/>
      <c r="P57" s="1"/>
      <c r="Q57" s="1"/>
    </row>
    <row r="58" spans="1:17" x14ac:dyDescent="0.25">
      <c r="A58" s="27"/>
      <c r="B58" s="31"/>
      <c r="C58" s="31"/>
      <c r="D58" s="3" t="s">
        <v>597</v>
      </c>
      <c r="E58" s="1"/>
      <c r="F58" s="1"/>
      <c r="H58" s="1"/>
      <c r="I58" s="1"/>
      <c r="J58" s="1"/>
      <c r="K58" s="1"/>
      <c r="M58" s="1"/>
      <c r="N58" s="1"/>
      <c r="P58" s="1"/>
      <c r="Q58" s="1"/>
    </row>
    <row r="59" spans="1:17" x14ac:dyDescent="0.25">
      <c r="A59" s="27"/>
      <c r="B59" s="31"/>
      <c r="C59" s="31"/>
      <c r="D59" s="3" t="s">
        <v>598</v>
      </c>
      <c r="E59" s="1"/>
      <c r="F59" s="1"/>
      <c r="H59" s="1"/>
      <c r="I59" s="1"/>
      <c r="J59" s="1"/>
      <c r="K59" s="1"/>
      <c r="M59" s="1"/>
      <c r="N59" s="1"/>
      <c r="P59" s="1"/>
      <c r="Q59" s="1"/>
    </row>
    <row r="60" spans="1:17" x14ac:dyDescent="0.25">
      <c r="A60" s="27"/>
      <c r="B60" s="31"/>
      <c r="C60" s="31"/>
      <c r="D60" s="3"/>
      <c r="E60" s="1"/>
      <c r="F60" s="1"/>
      <c r="H60" s="1"/>
      <c r="I60" s="1"/>
      <c r="J60" s="1"/>
      <c r="K60" s="1"/>
      <c r="M60" s="1"/>
      <c r="N60" s="1"/>
      <c r="P60" s="1"/>
      <c r="Q60" s="1"/>
    </row>
    <row r="61" spans="1:17" x14ac:dyDescent="0.25">
      <c r="A61" s="27"/>
      <c r="B61" s="31"/>
      <c r="C61" s="31"/>
      <c r="D61" s="3" t="s">
        <v>596</v>
      </c>
      <c r="E61" s="1"/>
      <c r="F61" s="1"/>
      <c r="H61" s="1"/>
      <c r="I61" s="1"/>
      <c r="J61" s="1"/>
      <c r="K61" s="1"/>
      <c r="M61" s="1"/>
      <c r="N61" s="1"/>
      <c r="P61" s="1"/>
      <c r="Q61" s="1"/>
    </row>
    <row r="62" spans="1:17" x14ac:dyDescent="0.25">
      <c r="A62" s="27"/>
      <c r="B62" s="31"/>
      <c r="C62" s="31"/>
      <c r="D62" s="1"/>
      <c r="E62" s="1"/>
      <c r="F62" s="1"/>
      <c r="H62" s="1"/>
      <c r="I62" s="1"/>
      <c r="J62" s="1"/>
      <c r="K62" s="1"/>
      <c r="M62" s="1"/>
      <c r="N62" s="1"/>
      <c r="P62" s="1"/>
      <c r="Q62" s="1"/>
    </row>
    <row r="63" spans="1:17" x14ac:dyDescent="0.25">
      <c r="A63" s="27"/>
      <c r="B63" s="31"/>
      <c r="C63" s="31"/>
      <c r="D63" s="3"/>
      <c r="E63" s="1"/>
      <c r="F63" s="1"/>
      <c r="H63" s="1"/>
      <c r="I63" s="1"/>
      <c r="J63" s="1"/>
      <c r="K63" s="1"/>
      <c r="M63" s="1"/>
      <c r="N63" s="1"/>
      <c r="P63" s="1"/>
      <c r="Q63" s="1"/>
    </row>
    <row r="64" spans="1:17" x14ac:dyDescent="0.25">
      <c r="A64" s="27"/>
      <c r="B64" s="31"/>
      <c r="C64" s="31"/>
      <c r="D64" s="1"/>
      <c r="E64" s="1"/>
      <c r="F64" s="1"/>
      <c r="H64" s="1"/>
      <c r="I64" s="1"/>
      <c r="J64" s="1"/>
      <c r="K64" s="1"/>
      <c r="M64" s="1"/>
      <c r="N64" s="1"/>
      <c r="P64" s="1"/>
      <c r="Q64" s="1"/>
    </row>
    <row r="65" spans="1:17" x14ac:dyDescent="0.25">
      <c r="A65" s="27"/>
      <c r="B65" s="31"/>
      <c r="C65" s="31"/>
      <c r="D65" s="1"/>
      <c r="E65" s="1"/>
      <c r="F65" s="1"/>
      <c r="H65" s="1"/>
      <c r="I65" s="1"/>
      <c r="J65" s="1"/>
      <c r="K65" s="1"/>
      <c r="M65" s="1"/>
      <c r="N65" s="1"/>
      <c r="P65" s="1"/>
      <c r="Q65" s="1"/>
    </row>
    <row r="66" spans="1:17" x14ac:dyDescent="0.25">
      <c r="B66" s="1"/>
      <c r="C66" s="1"/>
      <c r="D66" s="1"/>
      <c r="E66" s="1"/>
      <c r="F66" s="1"/>
      <c r="H66" s="1"/>
      <c r="I66" s="1"/>
      <c r="J66" s="1"/>
      <c r="K66" s="1"/>
      <c r="L66" s="20"/>
      <c r="M66" s="1"/>
      <c r="N66" s="1"/>
      <c r="P66" s="1"/>
      <c r="Q66" s="1"/>
    </row>
    <row r="67" spans="1:17" x14ac:dyDescent="0.25">
      <c r="A67" s="14"/>
      <c r="B67" s="7"/>
      <c r="C67" s="7"/>
      <c r="D67" s="7" t="s">
        <v>18</v>
      </c>
      <c r="E67" s="7"/>
      <c r="F67" s="7"/>
      <c r="G67" s="14"/>
      <c r="H67" s="7"/>
      <c r="I67" s="7">
        <f>SUM(I10:I66)</f>
        <v>200</v>
      </c>
      <c r="J67" s="7"/>
      <c r="K67" s="7">
        <f>SUM(K10:K66)</f>
        <v>200</v>
      </c>
      <c r="L67" s="36"/>
      <c r="M67" s="7"/>
      <c r="N67" s="7">
        <f>SUM(N10:N66)</f>
        <v>380</v>
      </c>
      <c r="O67" s="14"/>
      <c r="P67" s="7"/>
      <c r="Q67" s="7">
        <f>SUM(Q9:Q66)</f>
        <v>380</v>
      </c>
    </row>
    <row r="68" spans="1:17" x14ac:dyDescent="0.25">
      <c r="A68" s="8"/>
      <c r="B68" s="9"/>
      <c r="C68" s="9"/>
      <c r="D68" s="1"/>
      <c r="E68" s="1"/>
      <c r="F68" s="1"/>
      <c r="H68" s="9"/>
      <c r="I68" s="9"/>
      <c r="J68" s="9"/>
      <c r="K68" s="9"/>
      <c r="L68" s="8"/>
      <c r="M68" s="9"/>
      <c r="N68" s="9"/>
      <c r="O68" s="8"/>
      <c r="P68" s="9"/>
      <c r="Q68" s="1"/>
    </row>
    <row r="71" spans="1:17" x14ac:dyDescent="0.25">
      <c r="D71" t="s">
        <v>411</v>
      </c>
    </row>
    <row r="72" spans="1:17" x14ac:dyDescent="0.25">
      <c r="D72" t="s">
        <v>412</v>
      </c>
    </row>
  </sheetData>
  <mergeCells count="2">
    <mergeCell ref="M6:N6"/>
    <mergeCell ref="P6:Q6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91AC-3F5C-48A6-9F55-A3053B40EB36}">
  <dimension ref="A1:R30"/>
  <sheetViews>
    <sheetView topLeftCell="A4" workbookViewId="0">
      <selection activeCell="B6" sqref="B6:C7"/>
    </sheetView>
  </sheetViews>
  <sheetFormatPr defaultRowHeight="15" x14ac:dyDescent="0.25"/>
  <cols>
    <col min="1" max="1" width="19.7109375" customWidth="1"/>
    <col min="2" max="2" width="17" customWidth="1"/>
    <col min="3" max="3" width="15.5703125" customWidth="1"/>
    <col min="4" max="4" width="35.140625" customWidth="1"/>
    <col min="5" max="5" width="20.140625" customWidth="1"/>
    <col min="6" max="6" width="11.140625" customWidth="1"/>
    <col min="8" max="8" width="10.42578125" customWidth="1"/>
    <col min="16" max="16" width="7" customWidth="1"/>
    <col min="17" max="17" width="10.5703125" customWidth="1"/>
    <col min="18" max="18" width="9.7109375" customWidth="1"/>
  </cols>
  <sheetData>
    <row r="1" spans="1:18" x14ac:dyDescent="0.25">
      <c r="A1" s="14" t="s">
        <v>198</v>
      </c>
      <c r="B1" s="14"/>
      <c r="C1" s="14"/>
      <c r="D1" s="14" t="s">
        <v>251</v>
      </c>
    </row>
    <row r="2" spans="1:18" x14ac:dyDescent="0.25">
      <c r="A2" s="14" t="s">
        <v>195</v>
      </c>
      <c r="B2" s="14"/>
      <c r="C2" s="14"/>
      <c r="D2" s="14" t="s">
        <v>252</v>
      </c>
    </row>
    <row r="4" spans="1:18" s="14" customFormat="1" ht="15.75" thickBot="1" x14ac:dyDescent="0.3">
      <c r="A4" s="7" t="s">
        <v>253</v>
      </c>
      <c r="E4" s="28"/>
      <c r="G4" s="29"/>
      <c r="I4" s="64"/>
      <c r="J4" s="64"/>
      <c r="L4" s="64"/>
      <c r="M4" s="64"/>
      <c r="O4" s="64"/>
      <c r="P4" s="64"/>
      <c r="R4" s="32"/>
    </row>
    <row r="5" spans="1:18" s="14" customFormat="1" ht="15.75" thickBot="1" x14ac:dyDescent="0.3">
      <c r="A5" s="7" t="s">
        <v>254</v>
      </c>
      <c r="D5" s="28"/>
      <c r="E5" s="14" t="s">
        <v>159</v>
      </c>
      <c r="F5" s="29">
        <v>0.4</v>
      </c>
      <c r="H5" s="58" t="s">
        <v>0</v>
      </c>
      <c r="I5" s="59"/>
      <c r="K5" s="58" t="s">
        <v>1</v>
      </c>
      <c r="L5" s="59"/>
      <c r="N5" s="62" t="s">
        <v>20</v>
      </c>
      <c r="O5" s="63"/>
      <c r="Q5" s="60"/>
      <c r="R5" s="61"/>
    </row>
    <row r="6" spans="1:18" x14ac:dyDescent="0.25">
      <c r="B6" s="7" t="s">
        <v>331</v>
      </c>
      <c r="C6" s="7" t="s">
        <v>527</v>
      </c>
      <c r="D6" s="7" t="s">
        <v>158</v>
      </c>
      <c r="E6" s="7" t="s">
        <v>153</v>
      </c>
      <c r="F6" s="7" t="s">
        <v>3</v>
      </c>
      <c r="G6" s="14"/>
      <c r="H6" s="15" t="s">
        <v>4</v>
      </c>
      <c r="I6" s="15" t="s">
        <v>5</v>
      </c>
      <c r="J6" s="14"/>
      <c r="K6" s="15" t="s">
        <v>4</v>
      </c>
      <c r="L6" s="15" t="s">
        <v>5</v>
      </c>
      <c r="M6" s="14"/>
      <c r="N6" s="15" t="s">
        <v>4</v>
      </c>
      <c r="O6" s="16" t="s">
        <v>5</v>
      </c>
      <c r="P6" s="14"/>
      <c r="Q6" s="7" t="s">
        <v>4</v>
      </c>
      <c r="R6" s="7" t="s">
        <v>5</v>
      </c>
    </row>
    <row r="7" spans="1:18" x14ac:dyDescent="0.25">
      <c r="B7" s="7"/>
      <c r="C7" s="7"/>
      <c r="D7" s="1"/>
      <c r="E7" s="1"/>
      <c r="F7" s="1"/>
      <c r="H7" s="1"/>
      <c r="I7" s="1"/>
      <c r="K7" s="1"/>
      <c r="L7" s="1"/>
      <c r="N7" s="1"/>
      <c r="O7" s="1"/>
      <c r="Q7" s="1"/>
      <c r="R7" s="1"/>
    </row>
    <row r="8" spans="1:18" x14ac:dyDescent="0.25">
      <c r="B8" s="1"/>
      <c r="C8" s="1"/>
      <c r="D8" s="7" t="s">
        <v>266</v>
      </c>
      <c r="E8" s="1"/>
      <c r="F8" s="1"/>
      <c r="H8" s="1"/>
      <c r="I8" s="1"/>
      <c r="K8" s="1"/>
      <c r="L8" s="1"/>
      <c r="N8" s="1"/>
      <c r="O8" s="1"/>
      <c r="Q8" s="1"/>
      <c r="R8" s="1"/>
    </row>
    <row r="9" spans="1:18" x14ac:dyDescent="0.25">
      <c r="B9" s="31" t="s">
        <v>565</v>
      </c>
      <c r="C9" s="31" t="s">
        <v>745</v>
      </c>
      <c r="D9" s="1" t="s">
        <v>259</v>
      </c>
      <c r="E9" s="1"/>
      <c r="F9" s="1">
        <v>40</v>
      </c>
      <c r="H9" s="1">
        <v>1</v>
      </c>
      <c r="I9" s="19">
        <f>H9*F9</f>
        <v>40</v>
      </c>
      <c r="K9" s="1">
        <v>2</v>
      </c>
      <c r="L9" s="1">
        <f>F9*K9</f>
        <v>80</v>
      </c>
      <c r="N9" s="1">
        <v>3</v>
      </c>
      <c r="O9" s="1">
        <f>F9*N9</f>
        <v>120</v>
      </c>
      <c r="Q9" s="1">
        <v>5</v>
      </c>
      <c r="R9" s="1">
        <f>F9*Q9</f>
        <v>200</v>
      </c>
    </row>
    <row r="10" spans="1:18" x14ac:dyDescent="0.25">
      <c r="B10" s="31" t="s">
        <v>566</v>
      </c>
      <c r="C10" s="31" t="s">
        <v>745</v>
      </c>
      <c r="D10" s="1" t="s">
        <v>260</v>
      </c>
      <c r="E10" s="1" t="s">
        <v>255</v>
      </c>
      <c r="F10" s="1">
        <v>130</v>
      </c>
      <c r="H10" s="1">
        <v>1</v>
      </c>
      <c r="I10" s="19">
        <f t="shared" ref="I10:I22" si="0">H10*F10</f>
        <v>130</v>
      </c>
      <c r="K10" s="1">
        <v>2</v>
      </c>
      <c r="L10" s="1">
        <f t="shared" ref="L10:L21" si="1">F10*K10</f>
        <v>260</v>
      </c>
      <c r="N10" s="1">
        <v>3</v>
      </c>
      <c r="O10" s="1">
        <f t="shared" ref="O10:O22" si="2">F10*N10</f>
        <v>390</v>
      </c>
      <c r="Q10" s="1">
        <v>5</v>
      </c>
      <c r="R10" s="1">
        <f t="shared" ref="R10:R18" si="3">F10*Q10</f>
        <v>650</v>
      </c>
    </row>
    <row r="11" spans="1:18" x14ac:dyDescent="0.25">
      <c r="B11" s="1"/>
      <c r="C11" s="1"/>
      <c r="D11" s="1"/>
      <c r="E11" s="1"/>
      <c r="F11" s="1"/>
      <c r="H11" s="1"/>
      <c r="I11" s="19"/>
      <c r="K11" s="1"/>
      <c r="L11" s="1"/>
      <c r="N11" s="1"/>
      <c r="O11" s="1"/>
      <c r="Q11" s="1"/>
      <c r="R11" s="1"/>
    </row>
    <row r="12" spans="1:18" x14ac:dyDescent="0.25">
      <c r="B12" s="1"/>
      <c r="C12" s="1"/>
      <c r="D12" s="7" t="s">
        <v>146</v>
      </c>
      <c r="E12" s="1"/>
      <c r="F12" s="1"/>
      <c r="H12" s="1"/>
      <c r="I12" s="19"/>
      <c r="K12" s="1"/>
      <c r="L12" s="1"/>
      <c r="N12" s="1"/>
      <c r="O12" s="1"/>
      <c r="Q12" s="1"/>
      <c r="R12" s="1"/>
    </row>
    <row r="13" spans="1:18" x14ac:dyDescent="0.25">
      <c r="B13" s="31" t="s">
        <v>567</v>
      </c>
      <c r="C13" s="31" t="s">
        <v>745</v>
      </c>
      <c r="D13" s="1" t="s">
        <v>261</v>
      </c>
      <c r="E13" s="1" t="s">
        <v>256</v>
      </c>
      <c r="F13" s="1">
        <v>130</v>
      </c>
      <c r="H13" s="1">
        <v>0</v>
      </c>
      <c r="I13" s="19">
        <f t="shared" si="0"/>
        <v>0</v>
      </c>
      <c r="K13" s="1">
        <v>0</v>
      </c>
      <c r="L13" s="1">
        <f t="shared" si="1"/>
        <v>0</v>
      </c>
      <c r="N13" s="1">
        <v>0</v>
      </c>
      <c r="O13" s="1">
        <f t="shared" si="2"/>
        <v>0</v>
      </c>
      <c r="Q13" s="1">
        <v>0</v>
      </c>
      <c r="R13" s="1">
        <f t="shared" si="3"/>
        <v>0</v>
      </c>
    </row>
    <row r="14" spans="1:18" x14ac:dyDescent="0.25">
      <c r="B14" s="31" t="s">
        <v>568</v>
      </c>
      <c r="C14" s="31" t="s">
        <v>745</v>
      </c>
      <c r="D14" s="1" t="s">
        <v>262</v>
      </c>
      <c r="E14" s="1" t="s">
        <v>257</v>
      </c>
      <c r="F14" s="1">
        <v>130</v>
      </c>
      <c r="H14" s="1">
        <v>0</v>
      </c>
      <c r="I14" s="19">
        <f t="shared" si="0"/>
        <v>0</v>
      </c>
      <c r="K14" s="1">
        <v>0</v>
      </c>
      <c r="L14" s="1">
        <f t="shared" si="1"/>
        <v>0</v>
      </c>
      <c r="N14" s="1">
        <v>0</v>
      </c>
      <c r="O14" s="1">
        <f t="shared" si="2"/>
        <v>0</v>
      </c>
      <c r="Q14" s="1">
        <v>1</v>
      </c>
      <c r="R14" s="1">
        <f t="shared" si="3"/>
        <v>130</v>
      </c>
    </row>
    <row r="15" spans="1:18" x14ac:dyDescent="0.25">
      <c r="B15" s="31" t="s">
        <v>569</v>
      </c>
      <c r="C15" s="31" t="s">
        <v>745</v>
      </c>
      <c r="D15" s="1" t="s">
        <v>261</v>
      </c>
      <c r="E15" s="1" t="s">
        <v>521</v>
      </c>
      <c r="F15" s="1">
        <v>250</v>
      </c>
      <c r="H15" s="1"/>
      <c r="I15" s="19">
        <f t="shared" si="0"/>
        <v>0</v>
      </c>
      <c r="K15" s="1"/>
      <c r="L15" s="1">
        <f t="shared" si="1"/>
        <v>0</v>
      </c>
      <c r="N15" s="1"/>
      <c r="O15" s="1">
        <f t="shared" si="2"/>
        <v>0</v>
      </c>
      <c r="Q15" s="1">
        <v>1</v>
      </c>
      <c r="R15" s="1">
        <f t="shared" si="3"/>
        <v>250</v>
      </c>
    </row>
    <row r="16" spans="1:18" x14ac:dyDescent="0.25">
      <c r="B16" s="31" t="s">
        <v>570</v>
      </c>
      <c r="C16" s="31" t="s">
        <v>745</v>
      </c>
      <c r="D16" s="1" t="s">
        <v>522</v>
      </c>
      <c r="E16" s="1" t="s">
        <v>521</v>
      </c>
      <c r="F16" s="1">
        <v>250</v>
      </c>
      <c r="H16" s="1"/>
      <c r="I16" s="19">
        <f t="shared" si="0"/>
        <v>0</v>
      </c>
      <c r="K16" s="1"/>
      <c r="L16" s="1">
        <f t="shared" si="1"/>
        <v>0</v>
      </c>
      <c r="N16" s="1"/>
      <c r="O16" s="1">
        <f t="shared" si="2"/>
        <v>0</v>
      </c>
      <c r="Q16" s="1">
        <v>1</v>
      </c>
      <c r="R16" s="1">
        <f t="shared" si="3"/>
        <v>250</v>
      </c>
    </row>
    <row r="17" spans="2:18" x14ac:dyDescent="0.25">
      <c r="B17" s="31" t="s">
        <v>571</v>
      </c>
      <c r="C17" s="31" t="s">
        <v>745</v>
      </c>
      <c r="D17" s="1" t="s">
        <v>263</v>
      </c>
      <c r="E17" s="1" t="s">
        <v>258</v>
      </c>
      <c r="F17" s="1">
        <v>160</v>
      </c>
      <c r="H17" s="1">
        <v>0</v>
      </c>
      <c r="I17" s="19">
        <f t="shared" si="0"/>
        <v>0</v>
      </c>
      <c r="K17" s="1">
        <v>0</v>
      </c>
      <c r="L17" s="1">
        <f t="shared" si="1"/>
        <v>0</v>
      </c>
      <c r="N17" s="1">
        <v>0</v>
      </c>
      <c r="O17" s="1">
        <f t="shared" si="2"/>
        <v>0</v>
      </c>
      <c r="Q17" s="1">
        <v>0</v>
      </c>
      <c r="R17" s="1">
        <f t="shared" si="3"/>
        <v>0</v>
      </c>
    </row>
    <row r="18" spans="2:18" x14ac:dyDescent="0.25">
      <c r="B18" s="31" t="s">
        <v>572</v>
      </c>
      <c r="C18" s="31" t="s">
        <v>745</v>
      </c>
      <c r="D18" s="1" t="s">
        <v>264</v>
      </c>
      <c r="E18" s="1"/>
      <c r="F18" s="1">
        <v>40</v>
      </c>
      <c r="H18" s="1">
        <v>0</v>
      </c>
      <c r="I18" s="19">
        <f t="shared" si="0"/>
        <v>0</v>
      </c>
      <c r="K18" s="1">
        <v>0</v>
      </c>
      <c r="L18" s="1">
        <f t="shared" si="1"/>
        <v>0</v>
      </c>
      <c r="N18" s="1">
        <v>2</v>
      </c>
      <c r="O18" s="1">
        <f t="shared" si="2"/>
        <v>80</v>
      </c>
      <c r="Q18" s="1">
        <v>1</v>
      </c>
      <c r="R18" s="1">
        <f t="shared" si="3"/>
        <v>40</v>
      </c>
    </row>
    <row r="19" spans="2:18" x14ac:dyDescent="0.25">
      <c r="B19" s="1"/>
      <c r="C19" s="1"/>
      <c r="D19" s="1"/>
      <c r="E19" s="1"/>
      <c r="F19" s="1"/>
      <c r="H19" s="1"/>
      <c r="I19" s="19">
        <f t="shared" si="0"/>
        <v>0</v>
      </c>
      <c r="K19" s="1"/>
      <c r="L19" s="1">
        <f t="shared" si="1"/>
        <v>0</v>
      </c>
      <c r="N19" s="1"/>
      <c r="O19" s="1">
        <f t="shared" si="2"/>
        <v>0</v>
      </c>
      <c r="Q19" s="1"/>
      <c r="R19" s="1"/>
    </row>
    <row r="20" spans="2:18" x14ac:dyDescent="0.25">
      <c r="B20" s="1"/>
      <c r="C20" s="1"/>
      <c r="D20" s="7" t="s">
        <v>267</v>
      </c>
      <c r="E20" s="1"/>
      <c r="F20" s="1"/>
      <c r="H20" s="1"/>
      <c r="I20" s="19">
        <f t="shared" si="0"/>
        <v>0</v>
      </c>
      <c r="K20" s="1"/>
      <c r="L20" s="1">
        <f t="shared" si="1"/>
        <v>0</v>
      </c>
      <c r="N20" s="1"/>
      <c r="O20" s="1">
        <f t="shared" si="2"/>
        <v>0</v>
      </c>
      <c r="Q20" s="1"/>
      <c r="R20" s="1"/>
    </row>
    <row r="21" spans="2:18" x14ac:dyDescent="0.25">
      <c r="B21" s="31" t="s">
        <v>573</v>
      </c>
      <c r="C21" s="31"/>
      <c r="D21" s="1" t="s">
        <v>265</v>
      </c>
      <c r="E21" s="1"/>
      <c r="F21" s="1">
        <v>6</v>
      </c>
      <c r="H21" s="1">
        <v>1</v>
      </c>
      <c r="I21" s="19">
        <f t="shared" si="0"/>
        <v>6</v>
      </c>
      <c r="K21" s="1">
        <v>1</v>
      </c>
      <c r="L21" s="1">
        <f t="shared" si="1"/>
        <v>6</v>
      </c>
      <c r="N21" s="1"/>
      <c r="O21" s="1">
        <f t="shared" si="2"/>
        <v>0</v>
      </c>
      <c r="Q21" s="1"/>
      <c r="R21" s="1">
        <v>40</v>
      </c>
    </row>
    <row r="22" spans="2:18" x14ac:dyDescent="0.25">
      <c r="B22" s="31" t="s">
        <v>574</v>
      </c>
      <c r="C22" s="31"/>
      <c r="D22" s="1" t="s">
        <v>148</v>
      </c>
      <c r="E22" s="1"/>
      <c r="F22" s="1">
        <v>20</v>
      </c>
      <c r="H22" s="1"/>
      <c r="I22" s="19">
        <f t="shared" si="0"/>
        <v>0</v>
      </c>
      <c r="K22" s="1"/>
      <c r="L22" s="1"/>
      <c r="N22" s="1">
        <v>1</v>
      </c>
      <c r="O22" s="1">
        <f t="shared" si="2"/>
        <v>20</v>
      </c>
      <c r="Q22" s="1">
        <v>1</v>
      </c>
      <c r="R22" s="1">
        <v>152</v>
      </c>
    </row>
    <row r="23" spans="2:18" s="14" customFormat="1" x14ac:dyDescent="0.25">
      <c r="B23" s="40"/>
      <c r="C23" s="40"/>
      <c r="D23" s="1"/>
      <c r="E23" s="1"/>
      <c r="F23" s="1"/>
      <c r="G23"/>
      <c r="H23" s="1"/>
      <c r="I23" s="1"/>
      <c r="J23"/>
      <c r="K23" s="1"/>
      <c r="L23" s="1"/>
      <c r="M23"/>
      <c r="N23" s="1"/>
      <c r="O23" s="1"/>
      <c r="P23"/>
      <c r="Q23" s="1"/>
      <c r="R23" s="1"/>
    </row>
    <row r="24" spans="2:18" x14ac:dyDescent="0.25">
      <c r="B24" s="1"/>
      <c r="C24" s="1"/>
      <c r="D24" s="7"/>
      <c r="E24" s="7"/>
      <c r="F24" s="7"/>
      <c r="G24" s="14"/>
      <c r="H24" s="7"/>
      <c r="I24" s="7">
        <f>SUM(I9:I22)</f>
        <v>176</v>
      </c>
      <c r="J24" s="14"/>
      <c r="K24" s="7"/>
      <c r="L24" s="7">
        <f>SUM(L9:L22)</f>
        <v>346</v>
      </c>
      <c r="M24" s="14"/>
      <c r="N24" s="7"/>
      <c r="O24" s="7">
        <f>SUM(O9:O22)</f>
        <v>610</v>
      </c>
      <c r="P24" s="14"/>
      <c r="Q24" s="7"/>
      <c r="R24" s="7">
        <f>SUM(R9:R22)</f>
        <v>1712</v>
      </c>
    </row>
    <row r="25" spans="2:18" x14ac:dyDescent="0.25">
      <c r="B25" s="1"/>
      <c r="C25" s="1"/>
      <c r="D25" s="1"/>
      <c r="E25" s="1"/>
      <c r="F25" s="1"/>
      <c r="H25" s="1"/>
      <c r="I25" s="1"/>
      <c r="K25" s="1"/>
      <c r="L25" s="1"/>
      <c r="N25" s="1"/>
      <c r="O25" s="1"/>
      <c r="Q25" s="1"/>
      <c r="R25" s="1"/>
    </row>
    <row r="26" spans="2:18" x14ac:dyDescent="0.25">
      <c r="B26" s="1"/>
      <c r="C26" s="1"/>
      <c r="D26" s="1"/>
      <c r="E26" s="1"/>
      <c r="F26" s="1"/>
      <c r="H26" s="1"/>
      <c r="I26" s="1"/>
      <c r="K26" s="1"/>
      <c r="L26" s="1"/>
      <c r="N26" s="1"/>
      <c r="O26" s="1"/>
      <c r="Q26" s="1"/>
      <c r="R26" s="1"/>
    </row>
    <row r="27" spans="2:18" x14ac:dyDescent="0.25">
      <c r="B27" s="1"/>
      <c r="C27" s="1"/>
      <c r="D27" s="1"/>
      <c r="E27" s="1"/>
      <c r="F27" s="1"/>
      <c r="H27" s="1"/>
      <c r="I27" s="1"/>
      <c r="K27" s="1"/>
      <c r="L27" s="1"/>
      <c r="N27" s="1"/>
      <c r="O27" s="1"/>
      <c r="Q27" s="1"/>
      <c r="R27" s="1"/>
    </row>
    <row r="29" spans="2:18" x14ac:dyDescent="0.25">
      <c r="D29" s="14" t="s">
        <v>149</v>
      </c>
    </row>
    <row r="30" spans="2:18" x14ac:dyDescent="0.25">
      <c r="D30" s="14" t="s">
        <v>150</v>
      </c>
    </row>
  </sheetData>
  <mergeCells count="7">
    <mergeCell ref="Q5:R5"/>
    <mergeCell ref="N5:O5"/>
    <mergeCell ref="K5:L5"/>
    <mergeCell ref="H5:I5"/>
    <mergeCell ref="I4:J4"/>
    <mergeCell ref="L4:M4"/>
    <mergeCell ref="O4:P4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EB81-A929-4BC7-8530-0FC1EB3B681E}">
  <dimension ref="A1:R59"/>
  <sheetViews>
    <sheetView topLeftCell="A30" workbookViewId="0">
      <selection activeCell="C37" sqref="C37:C47"/>
    </sheetView>
  </sheetViews>
  <sheetFormatPr defaultRowHeight="15" x14ac:dyDescent="0.25"/>
  <cols>
    <col min="1" max="1" width="24.28515625" customWidth="1"/>
    <col min="2" max="2" width="12.5703125" customWidth="1"/>
    <col min="3" max="3" width="16.28515625" customWidth="1"/>
    <col min="4" max="4" width="31.7109375" customWidth="1"/>
    <col min="5" max="5" width="14.140625" customWidth="1"/>
  </cols>
  <sheetData>
    <row r="1" spans="1:18" x14ac:dyDescent="0.25">
      <c r="A1" s="14" t="s">
        <v>198</v>
      </c>
      <c r="B1" s="14"/>
      <c r="C1" s="14"/>
      <c r="D1" s="14" t="s">
        <v>251</v>
      </c>
    </row>
    <row r="2" spans="1:18" x14ac:dyDescent="0.25">
      <c r="A2" s="14" t="s">
        <v>195</v>
      </c>
      <c r="B2" s="14"/>
      <c r="C2" s="14"/>
      <c r="D2" s="14" t="s">
        <v>520</v>
      </c>
    </row>
    <row r="3" spans="1:18" ht="15.75" thickBot="1" x14ac:dyDescent="0.3"/>
    <row r="4" spans="1:18" ht="15.75" thickBot="1" x14ac:dyDescent="0.3">
      <c r="A4" s="7" t="s">
        <v>22</v>
      </c>
      <c r="D4" s="14"/>
      <c r="E4" s="14" t="s">
        <v>159</v>
      </c>
      <c r="F4" s="29">
        <v>0.4</v>
      </c>
      <c r="G4" s="14"/>
      <c r="H4" s="58" t="s">
        <v>0</v>
      </c>
      <c r="I4" s="59"/>
      <c r="J4" s="14"/>
      <c r="K4" s="58" t="s">
        <v>1</v>
      </c>
      <c r="L4" s="59"/>
      <c r="M4" s="14"/>
      <c r="N4" s="62" t="s">
        <v>20</v>
      </c>
      <c r="O4" s="63"/>
      <c r="Q4" s="62" t="s">
        <v>290</v>
      </c>
      <c r="R4" s="63"/>
    </row>
    <row r="5" spans="1:18" x14ac:dyDescent="0.25">
      <c r="A5" s="13"/>
      <c r="B5" s="7" t="s">
        <v>331</v>
      </c>
      <c r="C5" s="7" t="s">
        <v>763</v>
      </c>
      <c r="D5" s="7" t="s">
        <v>21</v>
      </c>
      <c r="E5" s="7" t="s">
        <v>2</v>
      </c>
      <c r="F5" s="7" t="s">
        <v>3</v>
      </c>
      <c r="G5" s="14"/>
      <c r="H5" s="15" t="s">
        <v>4</v>
      </c>
      <c r="I5" s="15" t="s">
        <v>5</v>
      </c>
      <c r="J5" s="14"/>
      <c r="K5" s="15" t="s">
        <v>4</v>
      </c>
      <c r="L5" s="15" t="s">
        <v>5</v>
      </c>
      <c r="M5" s="14"/>
      <c r="N5" s="15" t="s">
        <v>4</v>
      </c>
      <c r="O5" s="16" t="s">
        <v>5</v>
      </c>
      <c r="Q5" s="15" t="s">
        <v>4</v>
      </c>
      <c r="R5" s="16" t="s">
        <v>5</v>
      </c>
    </row>
    <row r="6" spans="1:18" x14ac:dyDescent="0.25">
      <c r="B6" s="1"/>
      <c r="C6" s="1"/>
      <c r="D6" s="1"/>
      <c r="E6" s="7"/>
      <c r="F6" s="1"/>
      <c r="G6" s="14"/>
      <c r="H6" s="2"/>
      <c r="I6" s="15"/>
      <c r="J6" s="14"/>
      <c r="K6" s="15"/>
      <c r="L6" s="15"/>
      <c r="M6" s="14"/>
      <c r="N6" s="15"/>
      <c r="O6" s="16"/>
      <c r="Q6" s="15"/>
      <c r="R6" s="16"/>
    </row>
    <row r="7" spans="1:18" x14ac:dyDescent="0.25">
      <c r="A7" s="13"/>
      <c r="B7" s="1" t="s">
        <v>659</v>
      </c>
      <c r="C7" s="1" t="s">
        <v>745</v>
      </c>
      <c r="D7" s="1" t="s">
        <v>23</v>
      </c>
      <c r="E7" s="7"/>
      <c r="F7" s="1">
        <v>130</v>
      </c>
      <c r="H7" s="2">
        <v>0</v>
      </c>
      <c r="I7" s="2">
        <f>H7*F7</f>
        <v>0</v>
      </c>
      <c r="K7" s="2">
        <v>0</v>
      </c>
      <c r="L7" s="2">
        <f>K7*F7</f>
        <v>0</v>
      </c>
      <c r="N7" s="2">
        <v>1</v>
      </c>
      <c r="O7" s="18">
        <f>F7*N7</f>
        <v>130</v>
      </c>
      <c r="Q7" s="2">
        <v>0</v>
      </c>
      <c r="R7" s="18">
        <f>F7*Q7</f>
        <v>0</v>
      </c>
    </row>
    <row r="8" spans="1:18" x14ac:dyDescent="0.25">
      <c r="A8" s="13"/>
      <c r="B8" s="1" t="s">
        <v>660</v>
      </c>
      <c r="C8" s="1" t="s">
        <v>745</v>
      </c>
      <c r="D8" s="1" t="s">
        <v>24</v>
      </c>
      <c r="E8" s="7"/>
      <c r="F8" s="1">
        <v>40</v>
      </c>
      <c r="H8" s="2">
        <v>0</v>
      </c>
      <c r="I8" s="2">
        <f t="shared" ref="I8:I34" si="0">H8*F8</f>
        <v>0</v>
      </c>
      <c r="K8" s="2">
        <v>0</v>
      </c>
      <c r="L8" s="2">
        <f t="shared" ref="L8:L34" si="1">K8*F8</f>
        <v>0</v>
      </c>
      <c r="N8" s="2">
        <v>1</v>
      </c>
      <c r="O8" s="18">
        <f t="shared" ref="O8:O47" si="2">F8*N8</f>
        <v>40</v>
      </c>
      <c r="Q8" s="2">
        <v>0</v>
      </c>
      <c r="R8" s="18">
        <f t="shared" ref="R8:R47" si="3">F8*Q8</f>
        <v>0</v>
      </c>
    </row>
    <row r="9" spans="1:18" x14ac:dyDescent="0.25">
      <c r="A9" s="13"/>
      <c r="B9" s="1" t="s">
        <v>661</v>
      </c>
      <c r="C9" s="1" t="s">
        <v>745</v>
      </c>
      <c r="D9" s="1" t="s">
        <v>599</v>
      </c>
      <c r="E9" s="7"/>
      <c r="F9" s="1">
        <v>200</v>
      </c>
      <c r="H9" s="2">
        <v>0</v>
      </c>
      <c r="I9" s="2">
        <f t="shared" si="0"/>
        <v>0</v>
      </c>
      <c r="K9" s="2">
        <v>0</v>
      </c>
      <c r="L9" s="2">
        <f t="shared" si="1"/>
        <v>0</v>
      </c>
      <c r="N9" s="2">
        <v>0</v>
      </c>
      <c r="O9" s="18">
        <v>0</v>
      </c>
      <c r="Q9" s="2">
        <v>2</v>
      </c>
      <c r="R9" s="18">
        <f t="shared" si="3"/>
        <v>400</v>
      </c>
    </row>
    <row r="10" spans="1:18" x14ac:dyDescent="0.25">
      <c r="A10" s="13"/>
      <c r="B10" s="1" t="s">
        <v>662</v>
      </c>
      <c r="C10" s="1" t="s">
        <v>745</v>
      </c>
      <c r="D10" s="1" t="s">
        <v>600</v>
      </c>
      <c r="E10" s="7"/>
      <c r="F10" s="1">
        <v>250</v>
      </c>
      <c r="H10" s="2">
        <v>0</v>
      </c>
      <c r="I10" s="2">
        <f t="shared" si="0"/>
        <v>0</v>
      </c>
      <c r="K10" s="2">
        <v>0</v>
      </c>
      <c r="L10" s="2">
        <f t="shared" si="1"/>
        <v>0</v>
      </c>
      <c r="N10" s="2">
        <v>0</v>
      </c>
      <c r="O10" s="18">
        <v>0</v>
      </c>
      <c r="Q10" s="2">
        <v>2</v>
      </c>
      <c r="R10" s="18">
        <f t="shared" si="3"/>
        <v>500</v>
      </c>
    </row>
    <row r="11" spans="1:18" x14ac:dyDescent="0.25">
      <c r="A11" s="13"/>
      <c r="B11" s="1" t="s">
        <v>663</v>
      </c>
      <c r="C11" s="1" t="s">
        <v>745</v>
      </c>
      <c r="D11" s="1" t="s">
        <v>25</v>
      </c>
      <c r="E11" s="1"/>
      <c r="F11" s="1">
        <v>20</v>
      </c>
      <c r="H11" s="1">
        <v>1</v>
      </c>
      <c r="I11" s="2">
        <f t="shared" si="0"/>
        <v>20</v>
      </c>
      <c r="K11" s="1">
        <v>1</v>
      </c>
      <c r="L11" s="2">
        <f t="shared" si="1"/>
        <v>20</v>
      </c>
      <c r="N11" s="1">
        <v>2</v>
      </c>
      <c r="O11" s="18">
        <f t="shared" si="2"/>
        <v>40</v>
      </c>
      <c r="Q11" s="1">
        <v>3</v>
      </c>
      <c r="R11" s="18">
        <f t="shared" si="3"/>
        <v>60</v>
      </c>
    </row>
    <row r="12" spans="1:18" x14ac:dyDescent="0.25">
      <c r="A12" s="13"/>
      <c r="B12" s="1" t="s">
        <v>664</v>
      </c>
      <c r="C12" s="1" t="s">
        <v>767</v>
      </c>
      <c r="D12" s="1" t="s">
        <v>26</v>
      </c>
      <c r="E12" s="1"/>
      <c r="F12" s="1">
        <v>20</v>
      </c>
      <c r="H12" s="1">
        <v>1</v>
      </c>
      <c r="I12" s="2">
        <f t="shared" si="0"/>
        <v>20</v>
      </c>
      <c r="K12" s="1">
        <v>1</v>
      </c>
      <c r="L12" s="2">
        <f t="shared" si="1"/>
        <v>20</v>
      </c>
      <c r="N12" s="1">
        <v>0</v>
      </c>
      <c r="O12" s="18">
        <f t="shared" si="2"/>
        <v>0</v>
      </c>
      <c r="Q12" s="1">
        <v>0</v>
      </c>
      <c r="R12" s="18">
        <f t="shared" si="3"/>
        <v>0</v>
      </c>
    </row>
    <row r="13" spans="1:18" x14ac:dyDescent="0.25">
      <c r="A13" s="13"/>
      <c r="B13" s="1" t="s">
        <v>665</v>
      </c>
      <c r="C13" s="1" t="s">
        <v>767</v>
      </c>
      <c r="D13" s="1" t="s">
        <v>25</v>
      </c>
      <c r="E13" s="1" t="s">
        <v>603</v>
      </c>
      <c r="F13" s="1">
        <v>70</v>
      </c>
      <c r="H13" s="1">
        <v>0</v>
      </c>
      <c r="I13" s="2">
        <v>0</v>
      </c>
      <c r="K13" s="1">
        <v>0</v>
      </c>
      <c r="L13" s="2">
        <v>0</v>
      </c>
      <c r="N13" s="1">
        <v>0</v>
      </c>
      <c r="O13" s="18">
        <v>0</v>
      </c>
      <c r="Q13" s="1">
        <v>1</v>
      </c>
      <c r="R13" s="18">
        <f t="shared" si="3"/>
        <v>70</v>
      </c>
    </row>
    <row r="14" spans="1:18" x14ac:dyDescent="0.25">
      <c r="A14" s="13"/>
      <c r="B14" s="1" t="s">
        <v>666</v>
      </c>
      <c r="C14" s="1" t="s">
        <v>767</v>
      </c>
      <c r="D14" s="1" t="s">
        <v>27</v>
      </c>
      <c r="E14" s="1" t="s">
        <v>28</v>
      </c>
      <c r="F14" s="1">
        <v>10</v>
      </c>
      <c r="H14" s="1">
        <v>1</v>
      </c>
      <c r="I14" s="2">
        <f t="shared" si="0"/>
        <v>10</v>
      </c>
      <c r="K14" s="1">
        <v>1</v>
      </c>
      <c r="L14" s="2">
        <f t="shared" si="1"/>
        <v>10</v>
      </c>
      <c r="N14" s="1">
        <v>1</v>
      </c>
      <c r="O14" s="18">
        <f t="shared" si="2"/>
        <v>10</v>
      </c>
      <c r="Q14" s="1">
        <v>1</v>
      </c>
      <c r="R14" s="18">
        <f t="shared" si="3"/>
        <v>10</v>
      </c>
    </row>
    <row r="15" spans="1:18" x14ac:dyDescent="0.25">
      <c r="A15" s="13"/>
      <c r="B15" s="1" t="s">
        <v>667</v>
      </c>
      <c r="C15" s="1" t="s">
        <v>767</v>
      </c>
      <c r="D15" s="1" t="s">
        <v>29</v>
      </c>
      <c r="E15" s="1"/>
      <c r="F15" s="1">
        <v>5</v>
      </c>
      <c r="H15" s="1">
        <v>1</v>
      </c>
      <c r="I15" s="2">
        <f t="shared" si="0"/>
        <v>5</v>
      </c>
      <c r="K15" s="1">
        <v>1</v>
      </c>
      <c r="L15" s="2">
        <f t="shared" si="1"/>
        <v>5</v>
      </c>
      <c r="N15" s="1">
        <v>1</v>
      </c>
      <c r="O15" s="18">
        <f t="shared" si="2"/>
        <v>5</v>
      </c>
      <c r="Q15" s="1">
        <v>1</v>
      </c>
      <c r="R15" s="18">
        <f t="shared" si="3"/>
        <v>5</v>
      </c>
    </row>
    <row r="16" spans="1:18" x14ac:dyDescent="0.25">
      <c r="A16" s="13"/>
      <c r="B16" s="1" t="s">
        <v>668</v>
      </c>
      <c r="C16" s="1" t="s">
        <v>767</v>
      </c>
      <c r="D16" s="1" t="s">
        <v>30</v>
      </c>
      <c r="E16" s="1"/>
      <c r="F16" s="1">
        <v>2</v>
      </c>
      <c r="H16" s="1">
        <v>1</v>
      </c>
      <c r="I16" s="2">
        <f t="shared" si="0"/>
        <v>2</v>
      </c>
      <c r="K16" s="1">
        <v>1</v>
      </c>
      <c r="L16" s="2">
        <f t="shared" si="1"/>
        <v>2</v>
      </c>
      <c r="N16" s="1">
        <v>1</v>
      </c>
      <c r="O16" s="18">
        <f t="shared" si="2"/>
        <v>2</v>
      </c>
      <c r="Q16" s="1">
        <v>1</v>
      </c>
      <c r="R16" s="18">
        <f t="shared" si="3"/>
        <v>2</v>
      </c>
    </row>
    <row r="17" spans="1:18" x14ac:dyDescent="0.25">
      <c r="A17" s="13"/>
      <c r="B17" s="1" t="s">
        <v>669</v>
      </c>
      <c r="C17" s="1" t="s">
        <v>767</v>
      </c>
      <c r="D17" s="1" t="s">
        <v>31</v>
      </c>
      <c r="E17" s="1"/>
      <c r="F17" s="1">
        <v>2</v>
      </c>
      <c r="H17" s="1">
        <v>1</v>
      </c>
      <c r="I17" s="2">
        <f t="shared" si="0"/>
        <v>2</v>
      </c>
      <c r="K17" s="1">
        <v>1</v>
      </c>
      <c r="L17" s="2">
        <f t="shared" si="1"/>
        <v>2</v>
      </c>
      <c r="N17" s="1">
        <v>1</v>
      </c>
      <c r="O17" s="18">
        <f t="shared" si="2"/>
        <v>2</v>
      </c>
      <c r="Q17" s="1">
        <v>1</v>
      </c>
      <c r="R17" s="18">
        <f t="shared" si="3"/>
        <v>2</v>
      </c>
    </row>
    <row r="18" spans="1:18" x14ac:dyDescent="0.25">
      <c r="A18" s="13"/>
      <c r="B18" s="1" t="s">
        <v>670</v>
      </c>
      <c r="C18" s="1" t="s">
        <v>767</v>
      </c>
      <c r="D18" s="1" t="s">
        <v>32</v>
      </c>
      <c r="E18" s="1"/>
      <c r="F18" s="1">
        <v>5</v>
      </c>
      <c r="H18" s="1">
        <v>1</v>
      </c>
      <c r="I18" s="2">
        <f t="shared" si="0"/>
        <v>5</v>
      </c>
      <c r="K18" s="1">
        <v>1</v>
      </c>
      <c r="L18" s="2">
        <f t="shared" si="1"/>
        <v>5</v>
      </c>
      <c r="N18" s="1">
        <v>2</v>
      </c>
      <c r="O18" s="18">
        <f t="shared" si="2"/>
        <v>10</v>
      </c>
      <c r="Q18" s="1">
        <v>3</v>
      </c>
      <c r="R18" s="18">
        <f t="shared" si="3"/>
        <v>15</v>
      </c>
    </row>
    <row r="19" spans="1:18" x14ac:dyDescent="0.25">
      <c r="A19" s="13"/>
      <c r="B19" s="1" t="s">
        <v>671</v>
      </c>
      <c r="C19" s="1" t="s">
        <v>767</v>
      </c>
      <c r="D19" s="1" t="s">
        <v>33</v>
      </c>
      <c r="E19" s="1"/>
      <c r="F19" s="1">
        <v>6</v>
      </c>
      <c r="H19" s="1">
        <v>1</v>
      </c>
      <c r="I19" s="2">
        <f t="shared" si="0"/>
        <v>6</v>
      </c>
      <c r="K19" s="1">
        <v>1</v>
      </c>
      <c r="L19" s="2">
        <f t="shared" si="1"/>
        <v>6</v>
      </c>
      <c r="N19" s="1">
        <v>2</v>
      </c>
      <c r="O19" s="18">
        <f t="shared" si="2"/>
        <v>12</v>
      </c>
      <c r="Q19" s="1">
        <f t="shared" ref="Q19:Q20" si="4">N19*3</f>
        <v>6</v>
      </c>
      <c r="R19" s="18">
        <f t="shared" si="3"/>
        <v>36</v>
      </c>
    </row>
    <row r="20" spans="1:18" x14ac:dyDescent="0.25">
      <c r="A20" s="13"/>
      <c r="B20" s="1" t="s">
        <v>672</v>
      </c>
      <c r="C20" s="1" t="s">
        <v>767</v>
      </c>
      <c r="D20" s="1" t="s">
        <v>34</v>
      </c>
      <c r="E20" s="1"/>
      <c r="F20" s="1">
        <v>2</v>
      </c>
      <c r="H20" s="1">
        <v>1</v>
      </c>
      <c r="I20" s="2">
        <f t="shared" si="0"/>
        <v>2</v>
      </c>
      <c r="K20" s="1">
        <v>1</v>
      </c>
      <c r="L20" s="2">
        <f t="shared" si="1"/>
        <v>2</v>
      </c>
      <c r="N20" s="1">
        <v>2</v>
      </c>
      <c r="O20" s="18">
        <f t="shared" si="2"/>
        <v>4</v>
      </c>
      <c r="Q20" s="1">
        <f t="shared" si="4"/>
        <v>6</v>
      </c>
      <c r="R20" s="18">
        <f t="shared" si="3"/>
        <v>12</v>
      </c>
    </row>
    <row r="21" spans="1:18" x14ac:dyDescent="0.25">
      <c r="A21" s="13"/>
      <c r="B21" s="1" t="s">
        <v>673</v>
      </c>
      <c r="C21" s="1" t="s">
        <v>767</v>
      </c>
      <c r="D21" s="1" t="s">
        <v>35</v>
      </c>
      <c r="E21" s="1"/>
      <c r="F21" s="1">
        <v>3</v>
      </c>
      <c r="H21" s="1">
        <v>1</v>
      </c>
      <c r="I21" s="2">
        <f t="shared" si="0"/>
        <v>3</v>
      </c>
      <c r="K21" s="1">
        <v>1</v>
      </c>
      <c r="L21" s="2">
        <f t="shared" si="1"/>
        <v>3</v>
      </c>
      <c r="N21" s="1">
        <v>1</v>
      </c>
      <c r="O21" s="18">
        <f t="shared" si="2"/>
        <v>3</v>
      </c>
      <c r="Q21" s="1">
        <v>1</v>
      </c>
      <c r="R21" s="18">
        <f t="shared" si="3"/>
        <v>3</v>
      </c>
    </row>
    <row r="22" spans="1:18" x14ac:dyDescent="0.25">
      <c r="A22" s="13"/>
      <c r="B22" s="1" t="s">
        <v>674</v>
      </c>
      <c r="C22" s="1" t="s">
        <v>767</v>
      </c>
      <c r="D22" s="1" t="s">
        <v>36</v>
      </c>
      <c r="E22" s="1"/>
      <c r="F22" s="1">
        <v>10</v>
      </c>
      <c r="H22" s="1">
        <v>1</v>
      </c>
      <c r="I22" s="2">
        <f t="shared" si="0"/>
        <v>10</v>
      </c>
      <c r="K22" s="1">
        <v>1</v>
      </c>
      <c r="L22" s="2">
        <f t="shared" si="1"/>
        <v>10</v>
      </c>
      <c r="N22" s="1">
        <v>1</v>
      </c>
      <c r="O22" s="18">
        <f t="shared" si="2"/>
        <v>10</v>
      </c>
      <c r="Q22" s="1">
        <v>1</v>
      </c>
      <c r="R22" s="18">
        <f t="shared" si="3"/>
        <v>10</v>
      </c>
    </row>
    <row r="23" spans="1:18" x14ac:dyDescent="0.25">
      <c r="A23" s="13"/>
      <c r="B23" s="1" t="s">
        <v>675</v>
      </c>
      <c r="C23" s="1" t="s">
        <v>767</v>
      </c>
      <c r="D23" s="1" t="s">
        <v>37</v>
      </c>
      <c r="E23" s="1"/>
      <c r="F23" s="1">
        <v>3</v>
      </c>
      <c r="H23" s="1">
        <v>1</v>
      </c>
      <c r="I23" s="2">
        <f t="shared" si="0"/>
        <v>3</v>
      </c>
      <c r="K23" s="1">
        <v>1</v>
      </c>
      <c r="L23" s="2">
        <f t="shared" si="1"/>
        <v>3</v>
      </c>
      <c r="N23" s="1">
        <v>1</v>
      </c>
      <c r="O23" s="18">
        <f t="shared" si="2"/>
        <v>3</v>
      </c>
      <c r="Q23" s="1">
        <v>1</v>
      </c>
      <c r="R23" s="18">
        <f t="shared" si="3"/>
        <v>3</v>
      </c>
    </row>
    <row r="24" spans="1:18" x14ac:dyDescent="0.25">
      <c r="A24" s="13"/>
      <c r="B24" s="1" t="s">
        <v>676</v>
      </c>
      <c r="C24" s="1" t="s">
        <v>767</v>
      </c>
      <c r="D24" s="1" t="s">
        <v>38</v>
      </c>
      <c r="E24" s="1"/>
      <c r="F24" s="1">
        <v>10</v>
      </c>
      <c r="H24" s="1">
        <v>1</v>
      </c>
      <c r="I24" s="2">
        <f t="shared" si="0"/>
        <v>10</v>
      </c>
      <c r="K24" s="1">
        <v>1</v>
      </c>
      <c r="L24" s="2">
        <f t="shared" si="1"/>
        <v>10</v>
      </c>
      <c r="N24" s="1">
        <v>1</v>
      </c>
      <c r="O24" s="18">
        <f t="shared" si="2"/>
        <v>10</v>
      </c>
      <c r="Q24" s="1">
        <v>1</v>
      </c>
      <c r="R24" s="18">
        <f t="shared" si="3"/>
        <v>10</v>
      </c>
    </row>
    <row r="25" spans="1:18" x14ac:dyDescent="0.25">
      <c r="A25" s="13"/>
      <c r="B25" s="1" t="s">
        <v>677</v>
      </c>
      <c r="C25" s="1" t="s">
        <v>767</v>
      </c>
      <c r="D25" s="1" t="s">
        <v>39</v>
      </c>
      <c r="E25" s="1"/>
      <c r="F25" s="1">
        <v>3</v>
      </c>
      <c r="H25" s="1">
        <v>1</v>
      </c>
      <c r="I25" s="2">
        <f t="shared" si="0"/>
        <v>3</v>
      </c>
      <c r="K25" s="1">
        <v>3</v>
      </c>
      <c r="L25" s="2">
        <f t="shared" si="1"/>
        <v>9</v>
      </c>
      <c r="N25" s="1">
        <v>4</v>
      </c>
      <c r="O25" s="18">
        <f t="shared" si="2"/>
        <v>12</v>
      </c>
      <c r="Q25" s="1">
        <v>6</v>
      </c>
      <c r="R25" s="18">
        <f t="shared" si="3"/>
        <v>18</v>
      </c>
    </row>
    <row r="26" spans="1:18" x14ac:dyDescent="0.25">
      <c r="A26" s="13"/>
      <c r="B26" s="1" t="s">
        <v>678</v>
      </c>
      <c r="C26" s="1" t="s">
        <v>767</v>
      </c>
      <c r="D26" s="1" t="s">
        <v>40</v>
      </c>
      <c r="E26" s="1"/>
      <c r="F26" s="1">
        <v>3</v>
      </c>
      <c r="H26" s="1">
        <v>1</v>
      </c>
      <c r="I26" s="2">
        <f t="shared" si="0"/>
        <v>3</v>
      </c>
      <c r="K26" s="1">
        <v>2</v>
      </c>
      <c r="L26" s="2">
        <f t="shared" si="1"/>
        <v>6</v>
      </c>
      <c r="N26" s="1">
        <v>3</v>
      </c>
      <c r="O26" s="18">
        <f t="shared" si="2"/>
        <v>9</v>
      </c>
      <c r="Q26" s="1">
        <v>3</v>
      </c>
      <c r="R26" s="18">
        <f t="shared" si="3"/>
        <v>9</v>
      </c>
    </row>
    <row r="27" spans="1:18" x14ac:dyDescent="0.25">
      <c r="A27" s="13"/>
      <c r="B27" s="1" t="s">
        <v>679</v>
      </c>
      <c r="C27" s="1" t="s">
        <v>767</v>
      </c>
      <c r="D27" s="1" t="s">
        <v>41</v>
      </c>
      <c r="E27" s="1"/>
      <c r="F27" s="1">
        <v>75</v>
      </c>
      <c r="H27" s="1">
        <v>0</v>
      </c>
      <c r="I27" s="2">
        <f t="shared" si="0"/>
        <v>0</v>
      </c>
      <c r="K27" s="1">
        <v>1</v>
      </c>
      <c r="L27" s="2">
        <f t="shared" si="1"/>
        <v>75</v>
      </c>
      <c r="N27" s="1">
        <v>1</v>
      </c>
      <c r="O27" s="18">
        <f t="shared" si="2"/>
        <v>75</v>
      </c>
      <c r="Q27" s="1">
        <v>1</v>
      </c>
      <c r="R27" s="18">
        <f t="shared" si="3"/>
        <v>75</v>
      </c>
    </row>
    <row r="28" spans="1:18" x14ac:dyDescent="0.25">
      <c r="A28" s="13"/>
      <c r="B28" s="1" t="s">
        <v>680</v>
      </c>
      <c r="C28" s="1" t="s">
        <v>767</v>
      </c>
      <c r="D28" s="1" t="s">
        <v>42</v>
      </c>
      <c r="E28" s="1"/>
      <c r="F28" s="1">
        <v>1</v>
      </c>
      <c r="H28" s="1">
        <v>1</v>
      </c>
      <c r="I28" s="2">
        <f t="shared" si="0"/>
        <v>1</v>
      </c>
      <c r="K28" s="1">
        <v>2</v>
      </c>
      <c r="L28" s="2">
        <f t="shared" si="1"/>
        <v>2</v>
      </c>
      <c r="N28" s="1">
        <v>2</v>
      </c>
      <c r="O28" s="18">
        <f t="shared" si="2"/>
        <v>2</v>
      </c>
      <c r="Q28" s="1">
        <v>2</v>
      </c>
      <c r="R28" s="18">
        <f t="shared" si="3"/>
        <v>2</v>
      </c>
    </row>
    <row r="29" spans="1:18" x14ac:dyDescent="0.25">
      <c r="A29" s="13"/>
      <c r="B29" s="1" t="s">
        <v>681</v>
      </c>
      <c r="C29" s="1" t="s">
        <v>767</v>
      </c>
      <c r="D29" s="1" t="s">
        <v>43</v>
      </c>
      <c r="E29" s="1"/>
      <c r="F29" s="1">
        <v>3</v>
      </c>
      <c r="H29" s="1">
        <v>1</v>
      </c>
      <c r="I29" s="2">
        <f t="shared" si="0"/>
        <v>3</v>
      </c>
      <c r="J29" s="4"/>
      <c r="K29" s="1">
        <v>1</v>
      </c>
      <c r="L29" s="2">
        <f t="shared" si="1"/>
        <v>3</v>
      </c>
      <c r="N29" s="1">
        <v>1</v>
      </c>
      <c r="O29" s="18">
        <f t="shared" si="2"/>
        <v>3</v>
      </c>
      <c r="Q29" s="1">
        <v>1</v>
      </c>
      <c r="R29" s="18">
        <f t="shared" si="3"/>
        <v>3</v>
      </c>
    </row>
    <row r="30" spans="1:18" x14ac:dyDescent="0.25">
      <c r="A30" s="13"/>
      <c r="B30" s="1" t="s">
        <v>682</v>
      </c>
      <c r="C30" s="1" t="s">
        <v>767</v>
      </c>
      <c r="D30" s="1" t="s">
        <v>44</v>
      </c>
      <c r="E30" s="1"/>
      <c r="F30" s="1">
        <v>5</v>
      </c>
      <c r="H30" s="1">
        <v>1</v>
      </c>
      <c r="I30" s="2">
        <f t="shared" si="0"/>
        <v>5</v>
      </c>
      <c r="J30" s="4"/>
      <c r="K30" s="1">
        <v>1</v>
      </c>
      <c r="L30" s="2">
        <f t="shared" si="1"/>
        <v>5</v>
      </c>
      <c r="N30" s="1">
        <v>1</v>
      </c>
      <c r="O30" s="18">
        <f t="shared" si="2"/>
        <v>5</v>
      </c>
      <c r="Q30" s="1">
        <v>1</v>
      </c>
      <c r="R30" s="18">
        <f t="shared" si="3"/>
        <v>5</v>
      </c>
    </row>
    <row r="31" spans="1:18" x14ac:dyDescent="0.25">
      <c r="A31" s="13"/>
      <c r="B31" s="1" t="s">
        <v>683</v>
      </c>
      <c r="C31" s="1" t="s">
        <v>767</v>
      </c>
      <c r="D31" s="1" t="s">
        <v>45</v>
      </c>
      <c r="E31" s="1"/>
      <c r="F31" s="1">
        <v>15</v>
      </c>
      <c r="G31" s="4"/>
      <c r="H31" s="1">
        <v>0</v>
      </c>
      <c r="I31" s="2">
        <f t="shared" si="0"/>
        <v>0</v>
      </c>
      <c r="J31" s="4"/>
      <c r="K31" s="1">
        <v>1</v>
      </c>
      <c r="L31" s="2">
        <f t="shared" si="1"/>
        <v>15</v>
      </c>
      <c r="N31" s="1">
        <v>1</v>
      </c>
      <c r="O31" s="18">
        <f t="shared" si="2"/>
        <v>15</v>
      </c>
      <c r="Q31" s="1">
        <v>1</v>
      </c>
      <c r="R31" s="18">
        <f t="shared" si="3"/>
        <v>15</v>
      </c>
    </row>
    <row r="32" spans="1:18" x14ac:dyDescent="0.25">
      <c r="A32" s="13"/>
      <c r="B32" s="1" t="s">
        <v>684</v>
      </c>
      <c r="C32" s="1" t="s">
        <v>767</v>
      </c>
      <c r="D32" s="1" t="s">
        <v>46</v>
      </c>
      <c r="E32" s="1"/>
      <c r="F32" s="1">
        <v>5</v>
      </c>
      <c r="H32" s="1">
        <v>1</v>
      </c>
      <c r="I32" s="2">
        <f t="shared" si="0"/>
        <v>5</v>
      </c>
      <c r="K32" s="1">
        <v>1</v>
      </c>
      <c r="L32" s="2">
        <f t="shared" si="1"/>
        <v>5</v>
      </c>
      <c r="N32" s="1">
        <v>1</v>
      </c>
      <c r="O32" s="18">
        <f t="shared" si="2"/>
        <v>5</v>
      </c>
      <c r="Q32" s="1">
        <v>0</v>
      </c>
      <c r="R32" s="18">
        <f t="shared" si="3"/>
        <v>0</v>
      </c>
    </row>
    <row r="33" spans="1:18" x14ac:dyDescent="0.25">
      <c r="A33" s="13"/>
      <c r="B33" s="1" t="s">
        <v>685</v>
      </c>
      <c r="C33" s="1" t="s">
        <v>767</v>
      </c>
      <c r="D33" s="1" t="s">
        <v>601</v>
      </c>
      <c r="E33" s="7"/>
      <c r="F33" s="1">
        <v>20</v>
      </c>
      <c r="H33" s="2">
        <v>0</v>
      </c>
      <c r="I33" s="2">
        <f t="shared" si="0"/>
        <v>0</v>
      </c>
      <c r="K33" s="2">
        <v>0</v>
      </c>
      <c r="L33" s="2">
        <f t="shared" si="1"/>
        <v>0</v>
      </c>
      <c r="N33" s="2">
        <v>0</v>
      </c>
      <c r="O33" s="18">
        <f t="shared" si="2"/>
        <v>0</v>
      </c>
      <c r="Q33" s="2">
        <v>2</v>
      </c>
      <c r="R33" s="18">
        <f t="shared" si="3"/>
        <v>40</v>
      </c>
    </row>
    <row r="34" spans="1:18" x14ac:dyDescent="0.25">
      <c r="A34" s="13"/>
      <c r="B34" s="1" t="s">
        <v>686</v>
      </c>
      <c r="C34" s="1" t="s">
        <v>745</v>
      </c>
      <c r="D34" s="1" t="s">
        <v>602</v>
      </c>
      <c r="E34" s="7"/>
      <c r="F34" s="1">
        <v>80</v>
      </c>
      <c r="H34" s="2">
        <v>0</v>
      </c>
      <c r="I34" s="2">
        <f t="shared" si="0"/>
        <v>0</v>
      </c>
      <c r="K34" s="2">
        <v>0</v>
      </c>
      <c r="L34" s="2">
        <f t="shared" si="1"/>
        <v>0</v>
      </c>
      <c r="N34" s="2">
        <v>0</v>
      </c>
      <c r="O34" s="18">
        <f t="shared" si="2"/>
        <v>0</v>
      </c>
      <c r="Q34" s="2">
        <v>1</v>
      </c>
      <c r="R34" s="18">
        <f t="shared" si="3"/>
        <v>80</v>
      </c>
    </row>
    <row r="35" spans="1:18" x14ac:dyDescent="0.25">
      <c r="A35" s="13"/>
      <c r="B35" s="1"/>
      <c r="C35" s="1"/>
      <c r="D35" s="1"/>
      <c r="E35" s="7"/>
      <c r="F35" s="1"/>
      <c r="H35" s="2"/>
      <c r="I35" s="2"/>
      <c r="K35" s="2"/>
      <c r="L35" s="2"/>
      <c r="N35" s="2"/>
      <c r="O35" s="18"/>
      <c r="Q35" s="2"/>
      <c r="R35" s="18"/>
    </row>
    <row r="36" spans="1:18" x14ac:dyDescent="0.25">
      <c r="A36" s="13"/>
      <c r="B36" s="1"/>
      <c r="C36" s="1"/>
      <c r="D36" s="9" t="s">
        <v>47</v>
      </c>
      <c r="E36" s="9"/>
      <c r="F36" s="9"/>
      <c r="G36" s="8"/>
      <c r="H36" s="1"/>
      <c r="I36" s="1"/>
      <c r="K36" s="1"/>
      <c r="L36" s="1"/>
      <c r="N36" s="1"/>
      <c r="O36" s="18"/>
      <c r="Q36" s="1"/>
      <c r="R36" s="18"/>
    </row>
    <row r="37" spans="1:18" x14ac:dyDescent="0.25">
      <c r="A37" s="13"/>
      <c r="B37" s="1" t="s">
        <v>687</v>
      </c>
      <c r="C37" s="1" t="s">
        <v>767</v>
      </c>
      <c r="D37" s="1" t="s">
        <v>48</v>
      </c>
      <c r="E37" s="1"/>
      <c r="F37" s="1">
        <v>5</v>
      </c>
      <c r="H37" s="1">
        <v>1</v>
      </c>
      <c r="I37" s="19">
        <f t="shared" ref="I37:I47" si="5">F37*H37</f>
        <v>5</v>
      </c>
      <c r="K37" s="1">
        <f>H37*3</f>
        <v>3</v>
      </c>
      <c r="L37" s="19">
        <f t="shared" ref="L37:L47" si="6">F37*K37</f>
        <v>15</v>
      </c>
      <c r="N37" s="1">
        <v>4</v>
      </c>
      <c r="O37" s="18">
        <f t="shared" si="2"/>
        <v>20</v>
      </c>
      <c r="Q37" s="1">
        <v>6</v>
      </c>
      <c r="R37" s="18">
        <f t="shared" si="3"/>
        <v>30</v>
      </c>
    </row>
    <row r="38" spans="1:18" x14ac:dyDescent="0.25">
      <c r="A38" s="13"/>
      <c r="B38" s="1" t="s">
        <v>688</v>
      </c>
      <c r="C38" s="1" t="s">
        <v>767</v>
      </c>
      <c r="D38" s="1" t="s">
        <v>49</v>
      </c>
      <c r="E38" s="1"/>
      <c r="F38" s="1">
        <v>0.3</v>
      </c>
      <c r="H38" s="1">
        <v>10</v>
      </c>
      <c r="I38" s="19">
        <f t="shared" si="5"/>
        <v>3</v>
      </c>
      <c r="K38" s="1">
        <v>30</v>
      </c>
      <c r="L38" s="19">
        <f t="shared" si="6"/>
        <v>9</v>
      </c>
      <c r="N38" s="1">
        <v>30</v>
      </c>
      <c r="O38" s="18">
        <f t="shared" si="2"/>
        <v>9</v>
      </c>
      <c r="Q38" s="1">
        <v>30</v>
      </c>
      <c r="R38" s="18">
        <f t="shared" si="3"/>
        <v>9</v>
      </c>
    </row>
    <row r="39" spans="1:18" x14ac:dyDescent="0.25">
      <c r="A39" s="13"/>
      <c r="B39" s="1" t="s">
        <v>689</v>
      </c>
      <c r="C39" s="1" t="s">
        <v>767</v>
      </c>
      <c r="D39" s="21" t="s">
        <v>50</v>
      </c>
      <c r="E39" s="21"/>
      <c r="F39" s="21">
        <v>5</v>
      </c>
      <c r="H39" s="21">
        <v>1</v>
      </c>
      <c r="I39" s="42">
        <f t="shared" si="5"/>
        <v>5</v>
      </c>
      <c r="K39" s="21">
        <f t="shared" ref="K39:K43" si="7">H39*3</f>
        <v>3</v>
      </c>
      <c r="L39" s="42">
        <f t="shared" si="6"/>
        <v>15</v>
      </c>
      <c r="N39" s="21">
        <v>4</v>
      </c>
      <c r="O39" s="43">
        <f t="shared" si="2"/>
        <v>20</v>
      </c>
      <c r="Q39" s="21">
        <v>6</v>
      </c>
      <c r="R39" s="43">
        <f t="shared" si="3"/>
        <v>30</v>
      </c>
    </row>
    <row r="40" spans="1:18" x14ac:dyDescent="0.25">
      <c r="A40" s="13"/>
      <c r="B40" s="1" t="s">
        <v>690</v>
      </c>
      <c r="C40" s="1" t="s">
        <v>767</v>
      </c>
      <c r="D40" s="1" t="s">
        <v>51</v>
      </c>
      <c r="E40" s="1"/>
      <c r="F40" s="1">
        <v>5</v>
      </c>
      <c r="G40" s="1"/>
      <c r="H40" s="1">
        <v>1</v>
      </c>
      <c r="I40" s="19">
        <f t="shared" si="5"/>
        <v>5</v>
      </c>
      <c r="J40" s="1"/>
      <c r="K40" s="1">
        <f t="shared" si="7"/>
        <v>3</v>
      </c>
      <c r="L40" s="19">
        <f t="shared" si="6"/>
        <v>15</v>
      </c>
      <c r="M40" s="1"/>
      <c r="N40" s="1">
        <v>4</v>
      </c>
      <c r="O40" s="1">
        <f t="shared" si="2"/>
        <v>20</v>
      </c>
      <c r="P40" s="1"/>
      <c r="Q40" s="1">
        <v>6</v>
      </c>
      <c r="R40" s="1">
        <f t="shared" si="3"/>
        <v>30</v>
      </c>
    </row>
    <row r="41" spans="1:18" x14ac:dyDescent="0.25">
      <c r="A41" s="13"/>
      <c r="B41" s="1" t="s">
        <v>691</v>
      </c>
      <c r="C41" s="1" t="s">
        <v>767</v>
      </c>
      <c r="D41" s="1" t="s">
        <v>52</v>
      </c>
      <c r="E41" s="1"/>
      <c r="F41" s="1">
        <v>3</v>
      </c>
      <c r="G41" s="1"/>
      <c r="H41" s="1">
        <v>1</v>
      </c>
      <c r="I41" s="19">
        <f t="shared" si="5"/>
        <v>3</v>
      </c>
      <c r="J41" s="1"/>
      <c r="K41" s="1">
        <f t="shared" si="7"/>
        <v>3</v>
      </c>
      <c r="L41" s="19">
        <f t="shared" si="6"/>
        <v>9</v>
      </c>
      <c r="M41" s="1"/>
      <c r="N41" s="1">
        <v>6</v>
      </c>
      <c r="O41" s="1">
        <f t="shared" si="2"/>
        <v>18</v>
      </c>
      <c r="P41" s="1"/>
      <c r="Q41" s="1">
        <v>6</v>
      </c>
      <c r="R41" s="1">
        <f t="shared" si="3"/>
        <v>18</v>
      </c>
    </row>
    <row r="42" spans="1:18" x14ac:dyDescent="0.25">
      <c r="A42" s="13"/>
      <c r="B42" s="1" t="s">
        <v>692</v>
      </c>
      <c r="C42" s="1" t="s">
        <v>767</v>
      </c>
      <c r="D42" s="1" t="s">
        <v>53</v>
      </c>
      <c r="E42" s="1"/>
      <c r="F42" s="1">
        <v>5</v>
      </c>
      <c r="G42" s="1"/>
      <c r="H42" s="1">
        <v>1</v>
      </c>
      <c r="I42" s="19">
        <f t="shared" si="5"/>
        <v>5</v>
      </c>
      <c r="J42" s="1"/>
      <c r="K42" s="1">
        <f t="shared" si="7"/>
        <v>3</v>
      </c>
      <c r="L42" s="19">
        <f t="shared" si="6"/>
        <v>15</v>
      </c>
      <c r="M42" s="1"/>
      <c r="N42" s="1">
        <v>4</v>
      </c>
      <c r="O42" s="1">
        <f t="shared" si="2"/>
        <v>20</v>
      </c>
      <c r="P42" s="1"/>
      <c r="Q42" s="1">
        <v>6</v>
      </c>
      <c r="R42" s="1">
        <f t="shared" si="3"/>
        <v>30</v>
      </c>
    </row>
    <row r="43" spans="1:18" x14ac:dyDescent="0.25">
      <c r="A43" s="13"/>
      <c r="B43" s="1" t="s">
        <v>693</v>
      </c>
      <c r="C43" s="1" t="s">
        <v>767</v>
      </c>
      <c r="D43" s="1" t="s">
        <v>54</v>
      </c>
      <c r="E43" s="1"/>
      <c r="F43" s="1">
        <v>0.1</v>
      </c>
      <c r="G43" s="1"/>
      <c r="H43" s="1">
        <v>25</v>
      </c>
      <c r="I43" s="19">
        <f t="shared" si="5"/>
        <v>2.5</v>
      </c>
      <c r="J43" s="1"/>
      <c r="K43" s="1">
        <f t="shared" si="7"/>
        <v>75</v>
      </c>
      <c r="L43" s="19">
        <f t="shared" si="6"/>
        <v>7.5</v>
      </c>
      <c r="M43" s="1"/>
      <c r="N43" s="1">
        <v>150</v>
      </c>
      <c r="O43" s="1">
        <f t="shared" si="2"/>
        <v>15</v>
      </c>
      <c r="P43" s="1"/>
      <c r="Q43" s="1">
        <v>150</v>
      </c>
      <c r="R43" s="1">
        <f t="shared" si="3"/>
        <v>15</v>
      </c>
    </row>
    <row r="44" spans="1:18" x14ac:dyDescent="0.25">
      <c r="A44" s="13"/>
      <c r="B44" s="1" t="s">
        <v>694</v>
      </c>
      <c r="C44" s="1" t="s">
        <v>767</v>
      </c>
      <c r="D44" s="1" t="s">
        <v>55</v>
      </c>
      <c r="E44" s="1"/>
      <c r="F44" s="1">
        <v>3.5</v>
      </c>
      <c r="G44" s="1"/>
      <c r="H44" s="1">
        <v>1</v>
      </c>
      <c r="I44" s="19">
        <f t="shared" si="5"/>
        <v>3.5</v>
      </c>
      <c r="J44" s="1"/>
      <c r="K44" s="1">
        <v>1</v>
      </c>
      <c r="L44" s="19">
        <f t="shared" si="6"/>
        <v>3.5</v>
      </c>
      <c r="M44" s="1"/>
      <c r="N44" s="1">
        <v>3</v>
      </c>
      <c r="O44" s="1">
        <f t="shared" si="2"/>
        <v>10.5</v>
      </c>
      <c r="P44" s="1"/>
      <c r="Q44" s="1">
        <v>3</v>
      </c>
      <c r="R44" s="1">
        <f t="shared" si="3"/>
        <v>10.5</v>
      </c>
    </row>
    <row r="45" spans="1:18" x14ac:dyDescent="0.25">
      <c r="A45" s="13"/>
      <c r="B45" s="1" t="s">
        <v>695</v>
      </c>
      <c r="C45" s="1" t="s">
        <v>767</v>
      </c>
      <c r="D45" s="1" t="s">
        <v>56</v>
      </c>
      <c r="E45" s="1"/>
      <c r="F45" s="1">
        <v>2.5</v>
      </c>
      <c r="G45" s="1"/>
      <c r="H45" s="1">
        <v>1</v>
      </c>
      <c r="I45" s="19">
        <f t="shared" si="5"/>
        <v>2.5</v>
      </c>
      <c r="J45" s="1"/>
      <c r="K45" s="1">
        <v>1</v>
      </c>
      <c r="L45" s="19">
        <f t="shared" si="6"/>
        <v>2.5</v>
      </c>
      <c r="M45" s="1"/>
      <c r="N45" s="1">
        <v>3</v>
      </c>
      <c r="O45" s="1">
        <f t="shared" si="2"/>
        <v>7.5</v>
      </c>
      <c r="P45" s="1"/>
      <c r="Q45" s="1">
        <v>3</v>
      </c>
      <c r="R45" s="1">
        <f t="shared" si="3"/>
        <v>7.5</v>
      </c>
    </row>
    <row r="46" spans="1:18" x14ac:dyDescent="0.25">
      <c r="A46" s="13"/>
      <c r="B46" s="1" t="s">
        <v>696</v>
      </c>
      <c r="C46" s="1" t="s">
        <v>767</v>
      </c>
      <c r="D46" s="1" t="s">
        <v>57</v>
      </c>
      <c r="E46" s="1"/>
      <c r="F46" s="1">
        <v>7</v>
      </c>
      <c r="G46" s="1"/>
      <c r="H46" s="1">
        <v>1</v>
      </c>
      <c r="I46" s="19">
        <f t="shared" si="5"/>
        <v>7</v>
      </c>
      <c r="J46" s="1"/>
      <c r="K46" s="1">
        <v>2</v>
      </c>
      <c r="L46" s="19">
        <f t="shared" si="6"/>
        <v>14</v>
      </c>
      <c r="M46" s="1"/>
      <c r="N46" s="1">
        <v>4</v>
      </c>
      <c r="O46" s="1">
        <f t="shared" si="2"/>
        <v>28</v>
      </c>
      <c r="P46" s="1"/>
      <c r="Q46" s="1">
        <v>4</v>
      </c>
      <c r="R46" s="1">
        <f t="shared" si="3"/>
        <v>28</v>
      </c>
    </row>
    <row r="47" spans="1:18" x14ac:dyDescent="0.25">
      <c r="A47" s="13"/>
      <c r="B47" s="1" t="s">
        <v>697</v>
      </c>
      <c r="C47" s="1" t="s">
        <v>767</v>
      </c>
      <c r="D47" s="1" t="s">
        <v>58</v>
      </c>
      <c r="E47" s="1"/>
      <c r="F47" s="1">
        <v>2.5</v>
      </c>
      <c r="G47" s="1"/>
      <c r="H47" s="1">
        <v>1</v>
      </c>
      <c r="I47" s="19">
        <f t="shared" si="5"/>
        <v>2.5</v>
      </c>
      <c r="J47" s="1"/>
      <c r="K47" s="1">
        <v>2</v>
      </c>
      <c r="L47" s="19">
        <f t="shared" si="6"/>
        <v>5</v>
      </c>
      <c r="M47" s="1"/>
      <c r="N47" s="1">
        <v>3</v>
      </c>
      <c r="O47" s="1">
        <f t="shared" si="2"/>
        <v>7.5</v>
      </c>
      <c r="P47" s="1"/>
      <c r="Q47" s="1">
        <v>3</v>
      </c>
      <c r="R47" s="1">
        <f t="shared" si="3"/>
        <v>7.5</v>
      </c>
    </row>
    <row r="48" spans="1:18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9"/>
      <c r="M48" s="1"/>
      <c r="N48" s="1"/>
      <c r="O48" s="1"/>
      <c r="P48" s="1"/>
      <c r="Q48" s="1"/>
      <c r="R48" s="1"/>
    </row>
    <row r="49" spans="2:18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5">
      <c r="B50" s="1"/>
      <c r="C50" s="1"/>
      <c r="D50" s="7" t="s">
        <v>151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5">
      <c r="B51" s="1" t="s">
        <v>698</v>
      </c>
      <c r="C51" s="1"/>
      <c r="D51" s="1" t="s">
        <v>271</v>
      </c>
      <c r="E51" s="1"/>
      <c r="F51" s="1"/>
      <c r="G51" s="1"/>
      <c r="H51" s="1"/>
      <c r="I51" s="1">
        <v>5</v>
      </c>
      <c r="J51" s="1"/>
      <c r="K51" s="1"/>
      <c r="L51" s="1">
        <v>5</v>
      </c>
      <c r="M51" s="1"/>
      <c r="N51" s="1"/>
      <c r="O51" s="1">
        <v>20</v>
      </c>
      <c r="P51" s="1"/>
      <c r="Q51" s="1"/>
      <c r="R51" s="1">
        <v>20</v>
      </c>
    </row>
    <row r="52" spans="2:18" x14ac:dyDescent="0.25">
      <c r="B52" s="1" t="s">
        <v>699</v>
      </c>
      <c r="C52" s="1"/>
      <c r="D52" s="1" t="s">
        <v>173</v>
      </c>
      <c r="E52" s="1"/>
      <c r="F52" s="1"/>
      <c r="G52" s="1"/>
      <c r="H52" s="1"/>
      <c r="I52" s="1">
        <v>16</v>
      </c>
      <c r="J52" s="1"/>
      <c r="K52" s="1"/>
      <c r="L52" s="1">
        <v>34</v>
      </c>
      <c r="M52" s="1"/>
      <c r="N52" s="1"/>
      <c r="O52" s="1">
        <v>58</v>
      </c>
      <c r="P52" s="1"/>
      <c r="Q52" s="1"/>
      <c r="R52" s="1">
        <v>160</v>
      </c>
    </row>
    <row r="53" spans="2:18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s="14" customFormat="1" x14ac:dyDescent="0.25">
      <c r="B55" s="7"/>
      <c r="C55" s="7"/>
      <c r="D55" s="7" t="s">
        <v>59</v>
      </c>
      <c r="E55" s="7"/>
      <c r="F55" s="7"/>
      <c r="G55" s="7"/>
      <c r="H55" s="7"/>
      <c r="I55" s="7">
        <f>SUM(I7:I54)</f>
        <v>183</v>
      </c>
      <c r="J55" s="7"/>
      <c r="K55" s="7"/>
      <c r="L55" s="7">
        <f>SUM(L7:L54)</f>
        <v>367.5</v>
      </c>
      <c r="M55" s="7"/>
      <c r="N55" s="7"/>
      <c r="O55" s="7">
        <f>SUM(O7:O54)</f>
        <v>660.5</v>
      </c>
      <c r="P55" s="7"/>
      <c r="Q55" s="7"/>
      <c r="R55" s="7">
        <f>SUM(R7:R54)</f>
        <v>1780.5</v>
      </c>
    </row>
    <row r="56" spans="2:18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</sheetData>
  <mergeCells count="4">
    <mergeCell ref="H4:I4"/>
    <mergeCell ref="K4:L4"/>
    <mergeCell ref="N4:O4"/>
    <mergeCell ref="Q4:R4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7CE5-3DEC-4106-981F-4235628A36B8}">
  <dimension ref="A1:O59"/>
  <sheetViews>
    <sheetView topLeftCell="A40" zoomScaleNormal="100" workbookViewId="0">
      <selection activeCell="E60" sqref="E60"/>
    </sheetView>
  </sheetViews>
  <sheetFormatPr defaultRowHeight="15" x14ac:dyDescent="0.25"/>
  <cols>
    <col min="1" max="1" width="20.85546875" customWidth="1"/>
    <col min="2" max="2" width="12" customWidth="1"/>
    <col min="3" max="3" width="15.42578125" customWidth="1"/>
    <col min="4" max="4" width="38.5703125" customWidth="1"/>
    <col min="5" max="5" width="8.42578125" customWidth="1"/>
    <col min="6" max="6" width="10.140625" customWidth="1"/>
    <col min="7" max="7" width="11.5703125" customWidth="1"/>
    <col min="8" max="8" width="8.85546875" customWidth="1"/>
    <col min="9" max="9" width="10.42578125" customWidth="1"/>
    <col min="10" max="10" width="11.28515625" customWidth="1"/>
    <col min="12" max="12" width="11.42578125" customWidth="1"/>
  </cols>
  <sheetData>
    <row r="1" spans="1:15" x14ac:dyDescent="0.25">
      <c r="A1" s="14" t="s">
        <v>198</v>
      </c>
      <c r="B1" s="14" t="s">
        <v>147</v>
      </c>
      <c r="C1" s="14"/>
      <c r="D1" s="14" t="s">
        <v>251</v>
      </c>
    </row>
    <row r="2" spans="1:15" x14ac:dyDescent="0.25">
      <c r="A2" s="14" t="s">
        <v>195</v>
      </c>
      <c r="B2" s="14"/>
      <c r="C2" s="14"/>
      <c r="D2" s="14" t="s">
        <v>704</v>
      </c>
    </row>
    <row r="4" spans="1:15" ht="15.75" thickBot="1" x14ac:dyDescent="0.3">
      <c r="D4" s="14" t="s">
        <v>159</v>
      </c>
      <c r="E4" s="29">
        <v>0.4</v>
      </c>
      <c r="F4" s="14"/>
      <c r="G4" s="29"/>
    </row>
    <row r="5" spans="1:15" ht="15.75" thickBot="1" x14ac:dyDescent="0.3">
      <c r="A5" s="14" t="s">
        <v>60</v>
      </c>
      <c r="B5" s="37" t="s">
        <v>331</v>
      </c>
      <c r="C5" s="57" t="s">
        <v>763</v>
      </c>
      <c r="D5" s="38" t="s">
        <v>21</v>
      </c>
      <c r="E5" s="38" t="s">
        <v>2</v>
      </c>
      <c r="F5" s="39" t="s">
        <v>3</v>
      </c>
      <c r="H5" s="58" t="s">
        <v>0</v>
      </c>
      <c r="I5" s="59"/>
      <c r="J5" s="14"/>
      <c r="K5" s="58" t="s">
        <v>1</v>
      </c>
      <c r="L5" s="59"/>
      <c r="M5" s="14"/>
      <c r="N5" s="62" t="s">
        <v>20</v>
      </c>
      <c r="O5" s="63"/>
    </row>
    <row r="6" spans="1:15" x14ac:dyDescent="0.25">
      <c r="A6" s="14" t="s">
        <v>62</v>
      </c>
      <c r="B6" s="2"/>
      <c r="C6" s="2"/>
      <c r="D6" s="2"/>
      <c r="E6" s="2"/>
      <c r="F6" s="2"/>
      <c r="H6" s="15" t="s">
        <v>4</v>
      </c>
      <c r="I6" s="15" t="s">
        <v>5</v>
      </c>
      <c r="J6" s="14"/>
      <c r="K6" s="15" t="s">
        <v>4</v>
      </c>
      <c r="L6" s="15" t="s">
        <v>5</v>
      </c>
      <c r="M6" s="14"/>
      <c r="N6" s="15" t="s">
        <v>4</v>
      </c>
      <c r="O6" s="16" t="s">
        <v>5</v>
      </c>
    </row>
    <row r="7" spans="1:15" x14ac:dyDescent="0.25">
      <c r="B7" s="1"/>
      <c r="C7" s="1"/>
      <c r="D7" s="1"/>
      <c r="E7" s="1"/>
      <c r="F7" s="1"/>
      <c r="H7" s="1"/>
      <c r="I7" s="19"/>
      <c r="K7" s="1"/>
      <c r="L7" s="19"/>
      <c r="N7" s="2"/>
      <c r="O7" s="2"/>
    </row>
    <row r="8" spans="1:15" x14ac:dyDescent="0.25">
      <c r="B8" s="1"/>
      <c r="C8" s="1"/>
      <c r="D8" s="1"/>
      <c r="E8" s="1"/>
      <c r="F8" s="1"/>
      <c r="H8" s="1"/>
      <c r="I8" s="19"/>
      <c r="K8" s="1"/>
      <c r="L8" s="19"/>
      <c r="N8" s="1"/>
      <c r="O8" s="1"/>
    </row>
    <row r="9" spans="1:15" x14ac:dyDescent="0.25">
      <c r="B9" s="7" t="s">
        <v>770</v>
      </c>
      <c r="C9" s="7"/>
      <c r="D9" s="1" t="s">
        <v>61</v>
      </c>
      <c r="E9" s="1"/>
      <c r="F9" s="1">
        <v>40</v>
      </c>
      <c r="G9" s="17"/>
      <c r="H9" s="1">
        <v>0</v>
      </c>
      <c r="I9" s="19">
        <f>F9*H9</f>
        <v>0</v>
      </c>
      <c r="K9" s="1">
        <v>0</v>
      </c>
      <c r="L9" s="19">
        <f>K9*F9</f>
        <v>0</v>
      </c>
      <c r="N9" s="1">
        <v>1</v>
      </c>
      <c r="O9" s="1">
        <f>N9*F9</f>
        <v>40</v>
      </c>
    </row>
    <row r="10" spans="1:15" x14ac:dyDescent="0.25">
      <c r="B10" s="7" t="s">
        <v>771</v>
      </c>
      <c r="C10" s="7"/>
      <c r="D10" s="1" t="s">
        <v>63</v>
      </c>
      <c r="E10" s="1"/>
      <c r="F10" s="1">
        <v>130</v>
      </c>
      <c r="G10" s="17"/>
      <c r="H10" s="1">
        <v>0</v>
      </c>
      <c r="I10" s="19">
        <f t="shared" ref="I10:I46" si="0">F10*H10</f>
        <v>0</v>
      </c>
      <c r="K10" s="1">
        <v>0</v>
      </c>
      <c r="L10" s="19">
        <f t="shared" ref="L10:L46" si="1">K10*F10</f>
        <v>0</v>
      </c>
      <c r="N10" s="1">
        <v>1</v>
      </c>
      <c r="O10" s="1">
        <f t="shared" ref="O10:O46" si="2">N10*F10</f>
        <v>130</v>
      </c>
    </row>
    <row r="11" spans="1:15" x14ac:dyDescent="0.25">
      <c r="B11" s="7" t="s">
        <v>772</v>
      </c>
      <c r="C11" s="1"/>
      <c r="D11" s="1" t="s">
        <v>701</v>
      </c>
      <c r="E11" s="1"/>
      <c r="F11" s="1">
        <v>160</v>
      </c>
      <c r="G11" s="17"/>
      <c r="H11" s="1">
        <v>0</v>
      </c>
      <c r="I11" s="19">
        <f t="shared" si="0"/>
        <v>0</v>
      </c>
      <c r="K11" s="1">
        <v>0</v>
      </c>
      <c r="L11" s="19">
        <f t="shared" si="1"/>
        <v>0</v>
      </c>
      <c r="N11" s="1">
        <v>0</v>
      </c>
      <c r="O11" s="1">
        <f t="shared" si="2"/>
        <v>0</v>
      </c>
    </row>
    <row r="12" spans="1:15" x14ac:dyDescent="0.25">
      <c r="B12" s="7" t="s">
        <v>773</v>
      </c>
      <c r="C12" s="1"/>
      <c r="D12" s="1" t="s">
        <v>702</v>
      </c>
      <c r="E12" s="1"/>
      <c r="F12" s="1">
        <v>130</v>
      </c>
      <c r="G12" s="17"/>
      <c r="H12" s="1">
        <v>0</v>
      </c>
      <c r="I12" s="19">
        <f t="shared" si="0"/>
        <v>0</v>
      </c>
      <c r="K12" s="1">
        <v>1</v>
      </c>
      <c r="L12" s="19">
        <f t="shared" si="1"/>
        <v>130</v>
      </c>
      <c r="N12" s="1">
        <v>1</v>
      </c>
      <c r="O12" s="1">
        <f t="shared" si="2"/>
        <v>130</v>
      </c>
    </row>
    <row r="13" spans="1:15" x14ac:dyDescent="0.25">
      <c r="B13" s="7" t="s">
        <v>774</v>
      </c>
      <c r="C13" s="1"/>
      <c r="D13" s="1" t="s">
        <v>64</v>
      </c>
      <c r="E13" s="1"/>
      <c r="F13" s="1">
        <v>130</v>
      </c>
      <c r="G13" s="17"/>
      <c r="H13" s="1">
        <v>0</v>
      </c>
      <c r="I13" s="19">
        <f t="shared" si="0"/>
        <v>0</v>
      </c>
      <c r="K13" s="1">
        <v>0</v>
      </c>
      <c r="L13" s="19">
        <f t="shared" si="1"/>
        <v>0</v>
      </c>
      <c r="N13" s="1">
        <v>1</v>
      </c>
      <c r="O13" s="1">
        <f t="shared" si="2"/>
        <v>130</v>
      </c>
    </row>
    <row r="14" spans="1:15" x14ac:dyDescent="0.25">
      <c r="B14" s="7" t="s">
        <v>775</v>
      </c>
      <c r="C14" s="1"/>
      <c r="D14" s="1" t="s">
        <v>65</v>
      </c>
      <c r="E14" s="1"/>
      <c r="F14" s="1">
        <v>0.5</v>
      </c>
      <c r="H14" s="1">
        <v>1</v>
      </c>
      <c r="I14" s="19">
        <f t="shared" si="0"/>
        <v>0.5</v>
      </c>
      <c r="K14" s="1">
        <v>1</v>
      </c>
      <c r="L14" s="19">
        <f t="shared" si="1"/>
        <v>0.5</v>
      </c>
      <c r="N14" s="1">
        <v>1</v>
      </c>
      <c r="O14" s="1">
        <f t="shared" si="2"/>
        <v>0.5</v>
      </c>
    </row>
    <row r="15" spans="1:15" x14ac:dyDescent="0.25">
      <c r="B15" s="7" t="s">
        <v>776</v>
      </c>
      <c r="C15" s="1"/>
      <c r="D15" s="1" t="s">
        <v>66</v>
      </c>
      <c r="E15" s="1"/>
      <c r="F15" s="1">
        <v>1</v>
      </c>
      <c r="H15" s="1">
        <v>1</v>
      </c>
      <c r="I15" s="19">
        <f t="shared" si="0"/>
        <v>1</v>
      </c>
      <c r="K15" s="1">
        <v>1</v>
      </c>
      <c r="L15" s="19">
        <f t="shared" si="1"/>
        <v>1</v>
      </c>
      <c r="N15" s="1">
        <v>1</v>
      </c>
      <c r="O15" s="1">
        <f t="shared" si="2"/>
        <v>1</v>
      </c>
    </row>
    <row r="16" spans="1:15" x14ac:dyDescent="0.25">
      <c r="B16" s="7" t="s">
        <v>777</v>
      </c>
      <c r="C16" s="1"/>
      <c r="D16" s="1" t="s">
        <v>67</v>
      </c>
      <c r="E16" s="1"/>
      <c r="F16" s="1">
        <v>0.5</v>
      </c>
      <c r="H16" s="1">
        <v>1</v>
      </c>
      <c r="I16" s="19">
        <f t="shared" si="0"/>
        <v>0.5</v>
      </c>
      <c r="K16" s="1">
        <v>1</v>
      </c>
      <c r="L16" s="19">
        <f t="shared" si="1"/>
        <v>0.5</v>
      </c>
      <c r="N16" s="1">
        <v>1</v>
      </c>
      <c r="O16" s="1">
        <f t="shared" si="2"/>
        <v>0.5</v>
      </c>
    </row>
    <row r="17" spans="2:15" x14ac:dyDescent="0.25">
      <c r="B17" s="7" t="s">
        <v>778</v>
      </c>
      <c r="C17" s="1"/>
      <c r="D17" s="1" t="s">
        <v>68</v>
      </c>
      <c r="E17" s="1"/>
      <c r="F17" s="1">
        <v>5</v>
      </c>
      <c r="H17" s="1">
        <v>1</v>
      </c>
      <c r="I17" s="19">
        <f t="shared" si="0"/>
        <v>5</v>
      </c>
      <c r="K17" s="1">
        <v>1</v>
      </c>
      <c r="L17" s="19">
        <f t="shared" si="1"/>
        <v>5</v>
      </c>
      <c r="N17" s="1">
        <v>1</v>
      </c>
      <c r="O17" s="1">
        <f t="shared" si="2"/>
        <v>5</v>
      </c>
    </row>
    <row r="18" spans="2:15" x14ac:dyDescent="0.25">
      <c r="B18" s="7" t="s">
        <v>779</v>
      </c>
      <c r="C18" s="1"/>
      <c r="D18" s="1" t="s">
        <v>30</v>
      </c>
      <c r="E18" s="1"/>
      <c r="F18" s="1">
        <v>2</v>
      </c>
      <c r="H18" s="1">
        <v>1</v>
      </c>
      <c r="I18" s="19">
        <f t="shared" si="0"/>
        <v>2</v>
      </c>
      <c r="K18" s="1">
        <v>1</v>
      </c>
      <c r="L18" s="19">
        <f t="shared" si="1"/>
        <v>2</v>
      </c>
      <c r="N18" s="1">
        <v>1</v>
      </c>
      <c r="O18" s="1">
        <f t="shared" si="2"/>
        <v>2</v>
      </c>
    </row>
    <row r="19" spans="2:15" x14ac:dyDescent="0.25">
      <c r="B19" s="7" t="s">
        <v>780</v>
      </c>
      <c r="C19" s="1"/>
      <c r="D19" s="1" t="s">
        <v>31</v>
      </c>
      <c r="E19" s="1"/>
      <c r="F19" s="1">
        <v>2</v>
      </c>
      <c r="H19" s="1">
        <v>1</v>
      </c>
      <c r="I19" s="19">
        <f t="shared" si="0"/>
        <v>2</v>
      </c>
      <c r="K19" s="1">
        <v>1</v>
      </c>
      <c r="L19" s="19">
        <f t="shared" si="1"/>
        <v>2</v>
      </c>
      <c r="N19" s="1">
        <v>1</v>
      </c>
      <c r="O19" s="1">
        <f t="shared" si="2"/>
        <v>2</v>
      </c>
    </row>
    <row r="20" spans="2:15" x14ac:dyDescent="0.25">
      <c r="B20" s="7" t="s">
        <v>781</v>
      </c>
      <c r="C20" s="1"/>
      <c r="D20" s="1" t="s">
        <v>27</v>
      </c>
      <c r="E20" s="1"/>
      <c r="F20" s="1">
        <v>10</v>
      </c>
      <c r="H20" s="1">
        <v>1</v>
      </c>
      <c r="I20" s="19">
        <f t="shared" si="0"/>
        <v>10</v>
      </c>
      <c r="K20" s="1">
        <v>1</v>
      </c>
      <c r="L20" s="19">
        <f t="shared" si="1"/>
        <v>10</v>
      </c>
      <c r="N20" s="1">
        <v>1</v>
      </c>
      <c r="O20" s="1">
        <f t="shared" si="2"/>
        <v>10</v>
      </c>
    </row>
    <row r="21" spans="2:15" x14ac:dyDescent="0.25">
      <c r="B21" s="7" t="s">
        <v>782</v>
      </c>
      <c r="C21" s="1"/>
      <c r="D21" s="1" t="s">
        <v>69</v>
      </c>
      <c r="E21" s="1"/>
      <c r="F21" s="1">
        <v>10</v>
      </c>
      <c r="H21" s="1">
        <v>1</v>
      </c>
      <c r="I21" s="19">
        <f t="shared" si="0"/>
        <v>10</v>
      </c>
      <c r="K21" s="1">
        <v>1</v>
      </c>
      <c r="L21" s="19">
        <f t="shared" si="1"/>
        <v>10</v>
      </c>
      <c r="N21" s="1">
        <v>1</v>
      </c>
      <c r="O21" s="1">
        <f t="shared" si="2"/>
        <v>10</v>
      </c>
    </row>
    <row r="22" spans="2:15" x14ac:dyDescent="0.25">
      <c r="B22" s="7" t="s">
        <v>783</v>
      </c>
      <c r="C22" s="1"/>
      <c r="D22" s="1" t="s">
        <v>70</v>
      </c>
      <c r="E22" s="1"/>
      <c r="F22" s="1">
        <v>10</v>
      </c>
      <c r="H22" s="1">
        <v>1</v>
      </c>
      <c r="I22" s="19">
        <f t="shared" si="0"/>
        <v>10</v>
      </c>
      <c r="K22" s="1">
        <v>1</v>
      </c>
      <c r="L22" s="19">
        <f t="shared" si="1"/>
        <v>10</v>
      </c>
      <c r="N22" s="1">
        <v>1</v>
      </c>
      <c r="O22" s="1">
        <f t="shared" si="2"/>
        <v>10</v>
      </c>
    </row>
    <row r="23" spans="2:15" x14ac:dyDescent="0.25">
      <c r="B23" s="7" t="s">
        <v>784</v>
      </c>
      <c r="C23" s="1"/>
      <c r="D23" s="1" t="s">
        <v>71</v>
      </c>
      <c r="E23" s="1"/>
      <c r="F23" s="1">
        <v>10</v>
      </c>
      <c r="H23" s="1">
        <v>1</v>
      </c>
      <c r="I23" s="19">
        <f t="shared" si="0"/>
        <v>10</v>
      </c>
      <c r="K23" s="1">
        <v>1</v>
      </c>
      <c r="L23" s="19">
        <f t="shared" si="1"/>
        <v>10</v>
      </c>
      <c r="N23" s="1">
        <v>1</v>
      </c>
      <c r="O23" s="1">
        <f t="shared" si="2"/>
        <v>10</v>
      </c>
    </row>
    <row r="24" spans="2:15" x14ac:dyDescent="0.25">
      <c r="B24" s="7" t="s">
        <v>785</v>
      </c>
      <c r="C24" s="1"/>
      <c r="D24" s="1" t="s">
        <v>72</v>
      </c>
      <c r="E24" s="1"/>
      <c r="F24" s="1">
        <v>2</v>
      </c>
      <c r="H24" s="1">
        <v>1</v>
      </c>
      <c r="I24" s="19">
        <f t="shared" si="0"/>
        <v>2</v>
      </c>
      <c r="K24" s="1">
        <v>1</v>
      </c>
      <c r="L24" s="19">
        <f t="shared" si="1"/>
        <v>2</v>
      </c>
      <c r="N24" s="1">
        <v>1</v>
      </c>
      <c r="O24" s="1">
        <f t="shared" si="2"/>
        <v>2</v>
      </c>
    </row>
    <row r="25" spans="2:15" x14ac:dyDescent="0.25">
      <c r="B25" s="7" t="s">
        <v>786</v>
      </c>
      <c r="C25" s="1"/>
      <c r="D25" s="1" t="s">
        <v>73</v>
      </c>
      <c r="E25" s="1"/>
      <c r="F25" s="1">
        <v>2</v>
      </c>
      <c r="H25" s="1">
        <v>1</v>
      </c>
      <c r="I25" s="19">
        <f t="shared" si="0"/>
        <v>2</v>
      </c>
      <c r="K25" s="1">
        <v>1</v>
      </c>
      <c r="L25" s="19">
        <f t="shared" si="1"/>
        <v>2</v>
      </c>
      <c r="N25" s="1">
        <v>1</v>
      </c>
      <c r="O25" s="1">
        <f t="shared" si="2"/>
        <v>2</v>
      </c>
    </row>
    <row r="26" spans="2:15" x14ac:dyDescent="0.25">
      <c r="B26" s="7" t="s">
        <v>787</v>
      </c>
      <c r="C26" s="1"/>
      <c r="D26" s="1" t="s">
        <v>74</v>
      </c>
      <c r="E26" s="1"/>
      <c r="F26" s="1">
        <v>2</v>
      </c>
      <c r="H26" s="1">
        <v>1</v>
      </c>
      <c r="I26" s="19">
        <f t="shared" si="0"/>
        <v>2</v>
      </c>
      <c r="K26" s="1">
        <v>1</v>
      </c>
      <c r="L26" s="19">
        <f t="shared" si="1"/>
        <v>2</v>
      </c>
      <c r="N26" s="1">
        <v>1</v>
      </c>
      <c r="O26" s="1">
        <f t="shared" si="2"/>
        <v>2</v>
      </c>
    </row>
    <row r="27" spans="2:15" x14ac:dyDescent="0.25">
      <c r="B27" s="7" t="s">
        <v>788</v>
      </c>
      <c r="C27" s="1"/>
      <c r="D27" s="1" t="s">
        <v>75</v>
      </c>
      <c r="E27" s="1"/>
      <c r="F27" s="1">
        <v>1</v>
      </c>
      <c r="H27" s="1">
        <v>4</v>
      </c>
      <c r="I27" s="19">
        <f t="shared" si="0"/>
        <v>4</v>
      </c>
      <c r="K27" s="1">
        <v>4</v>
      </c>
      <c r="L27" s="19">
        <f t="shared" si="1"/>
        <v>4</v>
      </c>
      <c r="N27" s="1">
        <v>4</v>
      </c>
      <c r="O27" s="1">
        <f t="shared" si="2"/>
        <v>4</v>
      </c>
    </row>
    <row r="28" spans="2:15" x14ac:dyDescent="0.25">
      <c r="B28" s="7" t="s">
        <v>789</v>
      </c>
      <c r="C28" s="1"/>
      <c r="D28" s="1" t="s">
        <v>76</v>
      </c>
      <c r="E28" s="1"/>
      <c r="F28" s="1">
        <v>0.5</v>
      </c>
      <c r="H28" s="1">
        <v>2</v>
      </c>
      <c r="I28" s="19">
        <f t="shared" si="0"/>
        <v>1</v>
      </c>
      <c r="K28" s="1">
        <v>2</v>
      </c>
      <c r="L28" s="19">
        <f t="shared" si="1"/>
        <v>1</v>
      </c>
      <c r="N28" s="1">
        <v>2</v>
      </c>
      <c r="O28" s="1">
        <f t="shared" si="2"/>
        <v>1</v>
      </c>
    </row>
    <row r="29" spans="2:15" x14ac:dyDescent="0.25">
      <c r="B29" s="7" t="s">
        <v>790</v>
      </c>
      <c r="C29" s="1"/>
      <c r="D29" s="1" t="s">
        <v>77</v>
      </c>
      <c r="E29" s="1"/>
      <c r="F29" s="1">
        <v>1</v>
      </c>
      <c r="H29" s="1">
        <v>2</v>
      </c>
      <c r="I29" s="19">
        <f t="shared" si="0"/>
        <v>2</v>
      </c>
      <c r="K29" s="1">
        <v>2</v>
      </c>
      <c r="L29" s="19">
        <f t="shared" si="1"/>
        <v>2</v>
      </c>
      <c r="N29" s="1">
        <v>2</v>
      </c>
      <c r="O29" s="1">
        <f t="shared" si="2"/>
        <v>2</v>
      </c>
    </row>
    <row r="30" spans="2:15" x14ac:dyDescent="0.25">
      <c r="B30" s="7" t="s">
        <v>791</v>
      </c>
      <c r="C30" s="1"/>
      <c r="D30" s="1" t="s">
        <v>78</v>
      </c>
      <c r="E30" s="1"/>
      <c r="F30" s="1">
        <v>9</v>
      </c>
      <c r="H30" s="1">
        <v>1</v>
      </c>
      <c r="I30" s="19">
        <f t="shared" si="0"/>
        <v>9</v>
      </c>
      <c r="K30" s="1">
        <v>1</v>
      </c>
      <c r="L30" s="19">
        <f t="shared" si="1"/>
        <v>9</v>
      </c>
      <c r="N30" s="1">
        <v>1</v>
      </c>
      <c r="O30" s="1">
        <f t="shared" si="2"/>
        <v>9</v>
      </c>
    </row>
    <row r="31" spans="2:15" x14ac:dyDescent="0.25">
      <c r="B31" s="7" t="s">
        <v>792</v>
      </c>
      <c r="C31" s="1"/>
      <c r="D31" s="1" t="s">
        <v>79</v>
      </c>
      <c r="E31" s="1"/>
      <c r="F31" s="1">
        <v>3</v>
      </c>
      <c r="H31" s="1">
        <v>3</v>
      </c>
      <c r="I31" s="19">
        <f t="shared" si="0"/>
        <v>9</v>
      </c>
      <c r="K31" s="1">
        <v>3</v>
      </c>
      <c r="L31" s="19">
        <f t="shared" si="1"/>
        <v>9</v>
      </c>
      <c r="N31" s="1">
        <v>3</v>
      </c>
      <c r="O31" s="1">
        <f t="shared" si="2"/>
        <v>9</v>
      </c>
    </row>
    <row r="32" spans="2:15" x14ac:dyDescent="0.25">
      <c r="B32" s="7" t="s">
        <v>793</v>
      </c>
      <c r="C32" s="1"/>
      <c r="D32" s="1" t="s">
        <v>80</v>
      </c>
      <c r="E32" s="1"/>
      <c r="F32" s="1">
        <v>5</v>
      </c>
      <c r="H32" s="1">
        <v>1</v>
      </c>
      <c r="I32" s="19">
        <f t="shared" si="0"/>
        <v>5</v>
      </c>
      <c r="K32" s="1">
        <v>1</v>
      </c>
      <c r="L32" s="19">
        <f t="shared" si="1"/>
        <v>5</v>
      </c>
      <c r="N32" s="1">
        <v>1</v>
      </c>
      <c r="O32" s="1">
        <f t="shared" si="2"/>
        <v>5</v>
      </c>
    </row>
    <row r="33" spans="2:15" x14ac:dyDescent="0.25">
      <c r="B33" s="1"/>
      <c r="C33" s="1"/>
      <c r="D33" s="1"/>
      <c r="E33" s="1"/>
      <c r="F33" s="1"/>
      <c r="H33" s="1"/>
      <c r="I33" s="19"/>
      <c r="K33" s="1"/>
      <c r="L33" s="19"/>
      <c r="N33" s="1"/>
      <c r="O33" s="1"/>
    </row>
    <row r="34" spans="2:15" x14ac:dyDescent="0.25">
      <c r="B34" s="1"/>
      <c r="C34" s="1"/>
      <c r="D34" s="1"/>
      <c r="E34" s="1"/>
      <c r="F34" s="1"/>
      <c r="H34" s="1"/>
      <c r="I34" s="19"/>
      <c r="K34" s="1"/>
      <c r="L34" s="19"/>
      <c r="N34" s="1"/>
      <c r="O34" s="1"/>
    </row>
    <row r="35" spans="2:15" x14ac:dyDescent="0.25">
      <c r="B35" s="1"/>
      <c r="C35" s="1"/>
      <c r="D35" s="9" t="s">
        <v>47</v>
      </c>
      <c r="E35" s="1"/>
      <c r="F35" s="1"/>
      <c r="H35" s="1"/>
      <c r="I35" s="19"/>
      <c r="K35" s="1"/>
      <c r="L35" s="19"/>
      <c r="N35" s="1"/>
      <c r="O35" s="1"/>
    </row>
    <row r="36" spans="2:15" x14ac:dyDescent="0.25">
      <c r="B36" s="1" t="s">
        <v>794</v>
      </c>
      <c r="C36" s="1"/>
      <c r="D36" s="1" t="s">
        <v>81</v>
      </c>
      <c r="E36" s="1"/>
      <c r="F36" s="1">
        <v>3</v>
      </c>
      <c r="H36" s="1">
        <v>3</v>
      </c>
      <c r="I36" s="19">
        <f t="shared" si="0"/>
        <v>9</v>
      </c>
      <c r="K36" s="1">
        <v>3</v>
      </c>
      <c r="L36" s="19">
        <f t="shared" si="1"/>
        <v>9</v>
      </c>
      <c r="N36" s="1">
        <v>3</v>
      </c>
      <c r="O36" s="1">
        <f t="shared" si="2"/>
        <v>9</v>
      </c>
    </row>
    <row r="37" spans="2:15" x14ac:dyDescent="0.25">
      <c r="B37" s="1" t="s">
        <v>795</v>
      </c>
      <c r="C37" s="1"/>
      <c r="D37" s="1" t="s">
        <v>82</v>
      </c>
      <c r="E37" s="1"/>
      <c r="F37" s="1">
        <v>3</v>
      </c>
      <c r="H37" s="1">
        <v>3</v>
      </c>
      <c r="I37" s="19">
        <f t="shared" si="0"/>
        <v>9</v>
      </c>
      <c r="K37" s="1">
        <v>3</v>
      </c>
      <c r="L37" s="19">
        <f t="shared" si="1"/>
        <v>9</v>
      </c>
      <c r="N37" s="1">
        <v>3</v>
      </c>
      <c r="O37" s="1">
        <f t="shared" si="2"/>
        <v>9</v>
      </c>
    </row>
    <row r="38" spans="2:15" x14ac:dyDescent="0.25">
      <c r="B38" s="1" t="s">
        <v>796</v>
      </c>
      <c r="C38" s="1"/>
      <c r="D38" s="1" t="s">
        <v>83</v>
      </c>
      <c r="E38" s="1"/>
      <c r="F38" s="1">
        <v>3</v>
      </c>
      <c r="H38" s="1">
        <v>3</v>
      </c>
      <c r="I38" s="19">
        <f t="shared" si="0"/>
        <v>9</v>
      </c>
      <c r="K38" s="1">
        <v>3</v>
      </c>
      <c r="L38" s="19">
        <f t="shared" si="1"/>
        <v>9</v>
      </c>
      <c r="N38" s="1">
        <v>3</v>
      </c>
      <c r="O38" s="1">
        <f t="shared" si="2"/>
        <v>9</v>
      </c>
    </row>
    <row r="39" spans="2:15" x14ac:dyDescent="0.25">
      <c r="B39" s="1" t="s">
        <v>797</v>
      </c>
      <c r="C39" s="1"/>
      <c r="D39" s="1" t="s">
        <v>84</v>
      </c>
      <c r="E39" s="1"/>
      <c r="F39" s="1">
        <v>2.5</v>
      </c>
      <c r="H39" s="1">
        <v>3</v>
      </c>
      <c r="I39" s="19">
        <f t="shared" si="0"/>
        <v>7.5</v>
      </c>
      <c r="K39" s="1">
        <v>3</v>
      </c>
      <c r="L39" s="19">
        <f t="shared" si="1"/>
        <v>7.5</v>
      </c>
      <c r="M39" s="4"/>
      <c r="N39" s="1">
        <v>3</v>
      </c>
      <c r="O39" s="1">
        <f t="shared" si="2"/>
        <v>7.5</v>
      </c>
    </row>
    <row r="40" spans="2:15" x14ac:dyDescent="0.25">
      <c r="B40" s="1" t="s">
        <v>798</v>
      </c>
      <c r="C40" s="1"/>
      <c r="D40" s="44" t="s">
        <v>700</v>
      </c>
      <c r="E40" s="1"/>
      <c r="F40" s="1">
        <v>2.5</v>
      </c>
      <c r="H40" s="1">
        <v>3</v>
      </c>
      <c r="I40" s="19">
        <f t="shared" si="0"/>
        <v>7.5</v>
      </c>
      <c r="K40" s="1">
        <v>3</v>
      </c>
      <c r="L40" s="19">
        <f t="shared" si="1"/>
        <v>7.5</v>
      </c>
      <c r="N40" s="1">
        <v>3</v>
      </c>
      <c r="O40" s="1">
        <f t="shared" si="2"/>
        <v>7.5</v>
      </c>
    </row>
    <row r="41" spans="2:15" x14ac:dyDescent="0.25">
      <c r="B41" s="1" t="s">
        <v>799</v>
      </c>
      <c r="C41" s="1"/>
      <c r="D41" s="1" t="s">
        <v>85</v>
      </c>
      <c r="E41" s="1"/>
      <c r="F41" s="1">
        <v>3</v>
      </c>
      <c r="H41" s="1">
        <v>3</v>
      </c>
      <c r="I41" s="19">
        <f t="shared" si="0"/>
        <v>9</v>
      </c>
      <c r="K41" s="1">
        <v>3</v>
      </c>
      <c r="L41" s="19">
        <f t="shared" si="1"/>
        <v>9</v>
      </c>
      <c r="N41" s="1">
        <v>3</v>
      </c>
      <c r="O41" s="1">
        <f t="shared" si="2"/>
        <v>9</v>
      </c>
    </row>
    <row r="42" spans="2:15" x14ac:dyDescent="0.25">
      <c r="B42" s="1" t="s">
        <v>800</v>
      </c>
      <c r="C42" s="1"/>
      <c r="D42" s="1" t="s">
        <v>86</v>
      </c>
      <c r="E42" s="1"/>
      <c r="F42" s="1">
        <v>3</v>
      </c>
      <c r="H42" s="1">
        <v>3</v>
      </c>
      <c r="I42" s="19">
        <f t="shared" si="0"/>
        <v>9</v>
      </c>
      <c r="K42" s="1">
        <v>3</v>
      </c>
      <c r="L42" s="19">
        <f t="shared" si="1"/>
        <v>9</v>
      </c>
      <c r="N42" s="1">
        <v>3</v>
      </c>
      <c r="O42" s="1">
        <f t="shared" si="2"/>
        <v>9</v>
      </c>
    </row>
    <row r="43" spans="2:15" x14ac:dyDescent="0.25">
      <c r="B43" s="1" t="s">
        <v>801</v>
      </c>
      <c r="C43" s="1"/>
      <c r="D43" s="1" t="s">
        <v>87</v>
      </c>
      <c r="E43" s="1"/>
      <c r="F43" s="1">
        <v>3.5</v>
      </c>
      <c r="H43" s="1">
        <v>3</v>
      </c>
      <c r="I43" s="19">
        <f t="shared" si="0"/>
        <v>10.5</v>
      </c>
      <c r="K43" s="1">
        <v>3</v>
      </c>
      <c r="L43" s="19">
        <f t="shared" si="1"/>
        <v>10.5</v>
      </c>
      <c r="N43" s="1">
        <v>3</v>
      </c>
      <c r="O43" s="1">
        <f t="shared" si="2"/>
        <v>10.5</v>
      </c>
    </row>
    <row r="44" spans="2:15" x14ac:dyDescent="0.25">
      <c r="B44" s="1" t="s">
        <v>802</v>
      </c>
      <c r="C44" s="1"/>
      <c r="D44" s="1" t="s">
        <v>88</v>
      </c>
      <c r="E44" s="1"/>
      <c r="F44" s="1">
        <v>2</v>
      </c>
      <c r="H44" s="1">
        <v>3</v>
      </c>
      <c r="I44" s="19">
        <f t="shared" si="0"/>
        <v>6</v>
      </c>
      <c r="K44" s="1">
        <v>3</v>
      </c>
      <c r="L44" s="19">
        <f t="shared" si="1"/>
        <v>6</v>
      </c>
      <c r="N44" s="1">
        <v>3</v>
      </c>
      <c r="O44" s="1">
        <f t="shared" si="2"/>
        <v>6</v>
      </c>
    </row>
    <row r="45" spans="2:15" x14ac:dyDescent="0.25">
      <c r="B45" s="1" t="s">
        <v>803</v>
      </c>
      <c r="C45" s="1"/>
      <c r="D45" s="1" t="s">
        <v>89</v>
      </c>
      <c r="E45" s="1"/>
      <c r="F45" s="1">
        <v>3</v>
      </c>
      <c r="H45" s="1">
        <v>3</v>
      </c>
      <c r="I45" s="19">
        <f t="shared" si="0"/>
        <v>9</v>
      </c>
      <c r="K45" s="1">
        <v>3</v>
      </c>
      <c r="L45" s="19">
        <f t="shared" si="1"/>
        <v>9</v>
      </c>
      <c r="N45" s="1">
        <v>3</v>
      </c>
      <c r="O45" s="1">
        <f t="shared" si="2"/>
        <v>9</v>
      </c>
    </row>
    <row r="46" spans="2:15" x14ac:dyDescent="0.25">
      <c r="B46" s="1" t="s">
        <v>804</v>
      </c>
      <c r="C46" s="1"/>
      <c r="D46" s="1" t="s">
        <v>90</v>
      </c>
      <c r="E46" s="1"/>
      <c r="F46" s="1">
        <v>2</v>
      </c>
      <c r="H46" s="1">
        <v>3</v>
      </c>
      <c r="I46" s="19">
        <f t="shared" si="0"/>
        <v>6</v>
      </c>
      <c r="K46" s="1">
        <v>3</v>
      </c>
      <c r="L46" s="19">
        <f t="shared" si="1"/>
        <v>6</v>
      </c>
      <c r="N46" s="1">
        <v>3</v>
      </c>
      <c r="O46" s="1">
        <f t="shared" si="2"/>
        <v>6</v>
      </c>
    </row>
    <row r="47" spans="2:15" x14ac:dyDescent="0.25">
      <c r="B47" s="1"/>
      <c r="C47" s="1"/>
      <c r="D47" s="1"/>
      <c r="E47" s="1"/>
      <c r="F47" s="1"/>
      <c r="H47" s="1"/>
      <c r="I47" s="1"/>
      <c r="K47" s="1"/>
      <c r="L47" s="1"/>
      <c r="N47" s="1"/>
      <c r="O47" s="1"/>
    </row>
    <row r="48" spans="2:15" x14ac:dyDescent="0.25">
      <c r="B48" s="1"/>
      <c r="C48" s="1"/>
      <c r="D48" s="1"/>
      <c r="E48" s="1"/>
      <c r="F48" s="1"/>
      <c r="H48" s="1"/>
      <c r="I48" s="1"/>
      <c r="K48" s="1"/>
      <c r="L48" s="1"/>
      <c r="N48" s="1"/>
      <c r="O48" s="1"/>
    </row>
    <row r="49" spans="2:15" x14ac:dyDescent="0.25">
      <c r="B49" s="1"/>
      <c r="C49" s="1"/>
      <c r="D49" s="7" t="s">
        <v>151</v>
      </c>
      <c r="E49" s="1"/>
      <c r="F49" s="1"/>
      <c r="H49" s="1"/>
      <c r="I49" s="1"/>
      <c r="K49" s="1"/>
      <c r="L49" s="1"/>
      <c r="N49" s="1"/>
      <c r="O49" s="1"/>
    </row>
    <row r="50" spans="2:15" x14ac:dyDescent="0.25">
      <c r="B50" s="1" t="s">
        <v>805</v>
      </c>
      <c r="C50" s="1"/>
      <c r="D50" s="1" t="s">
        <v>271</v>
      </c>
      <c r="E50" s="1"/>
      <c r="F50" s="1"/>
      <c r="H50" s="1"/>
      <c r="I50" s="1">
        <v>5</v>
      </c>
      <c r="K50" s="1"/>
      <c r="L50" s="1">
        <v>5</v>
      </c>
      <c r="N50" s="1"/>
      <c r="O50" s="1">
        <v>25</v>
      </c>
    </row>
    <row r="51" spans="2:15" x14ac:dyDescent="0.25">
      <c r="B51" s="1" t="s">
        <v>806</v>
      </c>
      <c r="C51" s="1"/>
      <c r="D51" s="1" t="s">
        <v>173</v>
      </c>
      <c r="E51" s="1"/>
      <c r="F51" s="1"/>
      <c r="H51" s="1"/>
      <c r="I51" s="1">
        <v>17</v>
      </c>
      <c r="K51" s="1"/>
      <c r="L51" s="1">
        <v>33</v>
      </c>
      <c r="N51" s="1"/>
      <c r="O51" s="1">
        <v>62</v>
      </c>
    </row>
    <row r="52" spans="2:15" x14ac:dyDescent="0.25">
      <c r="B52" s="1"/>
      <c r="C52" s="1"/>
      <c r="D52" s="1"/>
      <c r="E52" s="1"/>
      <c r="F52" s="1"/>
      <c r="H52" s="1"/>
      <c r="I52" s="1"/>
      <c r="K52" s="1"/>
      <c r="L52" s="1"/>
      <c r="N52" s="1"/>
      <c r="O52" s="1"/>
    </row>
    <row r="53" spans="2:15" x14ac:dyDescent="0.25">
      <c r="B53" s="1"/>
      <c r="C53" s="1"/>
      <c r="D53" s="1"/>
      <c r="E53" s="1"/>
      <c r="F53" s="1"/>
      <c r="H53" s="1"/>
      <c r="I53" s="1"/>
      <c r="K53" s="1"/>
      <c r="L53" s="1"/>
      <c r="N53" s="1"/>
      <c r="O53" s="1"/>
    </row>
    <row r="54" spans="2:15" x14ac:dyDescent="0.25">
      <c r="B54" s="1"/>
      <c r="C54" s="1"/>
      <c r="D54" s="1"/>
      <c r="E54" s="1"/>
      <c r="F54" s="1"/>
      <c r="H54" s="1"/>
      <c r="I54" s="1"/>
      <c r="K54" s="1"/>
      <c r="L54" s="1"/>
      <c r="N54" s="1"/>
      <c r="O54" s="1"/>
    </row>
    <row r="55" spans="2:15" x14ac:dyDescent="0.25">
      <c r="B55" s="1"/>
      <c r="C55" s="1"/>
      <c r="D55" s="1"/>
      <c r="E55" s="1"/>
      <c r="F55" s="1"/>
      <c r="H55" s="1"/>
      <c r="I55" s="1"/>
      <c r="K55" s="1"/>
      <c r="L55" s="1"/>
      <c r="N55" s="1"/>
      <c r="O55" s="1"/>
    </row>
    <row r="56" spans="2:15" s="14" customFormat="1" x14ac:dyDescent="0.25">
      <c r="B56" s="7"/>
      <c r="C56" s="7"/>
      <c r="D56" s="7" t="s">
        <v>59</v>
      </c>
      <c r="E56" s="7"/>
      <c r="F56" s="7"/>
      <c r="H56" s="7"/>
      <c r="I56" s="22">
        <f>SUM(I9:I55)</f>
        <v>200.5</v>
      </c>
      <c r="K56" s="7"/>
      <c r="L56" s="22">
        <f>SUM(L9:L55)</f>
        <v>346.5</v>
      </c>
      <c r="N56" s="7"/>
      <c r="O56" s="7">
        <f>SUM(O9:O55)</f>
        <v>695.5</v>
      </c>
    </row>
    <row r="57" spans="2:15" x14ac:dyDescent="0.25">
      <c r="B57" s="1"/>
      <c r="C57" s="1"/>
      <c r="D57" s="1"/>
      <c r="E57" s="1"/>
      <c r="F57" s="1"/>
      <c r="H57" s="1"/>
      <c r="I57" s="1"/>
      <c r="K57" s="1"/>
      <c r="L57" s="1"/>
      <c r="N57" s="1"/>
      <c r="O57" s="1"/>
    </row>
    <row r="58" spans="2:15" x14ac:dyDescent="0.25">
      <c r="B58" s="1"/>
      <c r="C58" s="1"/>
      <c r="D58" s="1"/>
      <c r="E58" s="1"/>
      <c r="F58" s="1"/>
      <c r="H58" s="1"/>
      <c r="I58" s="1"/>
      <c r="K58" s="1"/>
      <c r="L58" s="1"/>
      <c r="N58" s="1"/>
      <c r="O58" s="1"/>
    </row>
    <row r="59" spans="2:15" x14ac:dyDescent="0.25">
      <c r="B59" s="1"/>
      <c r="C59" s="1"/>
      <c r="D59" s="1"/>
      <c r="E59" s="1"/>
      <c r="F59" s="1"/>
      <c r="H59" s="1"/>
      <c r="I59" s="1"/>
      <c r="K59" s="1"/>
      <c r="L59" s="1"/>
      <c r="N59" s="1"/>
      <c r="O59" s="1"/>
    </row>
  </sheetData>
  <mergeCells count="3">
    <mergeCell ref="H5:I5"/>
    <mergeCell ref="K5:L5"/>
    <mergeCell ref="N5:O5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663E-371D-4365-99D5-C340149E1FCF}">
  <dimension ref="A1:O75"/>
  <sheetViews>
    <sheetView topLeftCell="A55" workbookViewId="0">
      <selection activeCell="C68" sqref="C68"/>
    </sheetView>
  </sheetViews>
  <sheetFormatPr defaultRowHeight="15" x14ac:dyDescent="0.25"/>
  <cols>
    <col min="1" max="1" width="20.5703125" customWidth="1"/>
    <col min="2" max="2" width="14.42578125" customWidth="1"/>
    <col min="3" max="3" width="15.7109375" customWidth="1"/>
    <col min="4" max="4" width="40.42578125" customWidth="1"/>
    <col min="5" max="5" width="11.28515625" customWidth="1"/>
    <col min="7" max="7" width="16.85546875" customWidth="1"/>
    <col min="9" max="9" width="9" customWidth="1"/>
    <col min="15" max="15" width="10" customWidth="1"/>
  </cols>
  <sheetData>
    <row r="1" spans="1:15" x14ac:dyDescent="0.25">
      <c r="A1" s="14" t="s">
        <v>198</v>
      </c>
      <c r="B1" s="14"/>
      <c r="C1" s="14"/>
      <c r="D1" s="14" t="s">
        <v>251</v>
      </c>
    </row>
    <row r="2" spans="1:15" x14ac:dyDescent="0.25">
      <c r="A2" s="14" t="s">
        <v>195</v>
      </c>
      <c r="B2" s="14"/>
      <c r="C2" s="14"/>
      <c r="D2" s="14" t="s">
        <v>768</v>
      </c>
    </row>
    <row r="4" spans="1:15" ht="15.75" thickBot="1" x14ac:dyDescent="0.3"/>
    <row r="5" spans="1:15" ht="15.75" thickBot="1" x14ac:dyDescent="0.3">
      <c r="A5" s="26" t="s">
        <v>769</v>
      </c>
      <c r="D5" s="14" t="s">
        <v>159</v>
      </c>
      <c r="E5" s="29">
        <v>0.4</v>
      </c>
      <c r="F5" s="14"/>
      <c r="H5" s="58" t="s">
        <v>0</v>
      </c>
      <c r="I5" s="59"/>
      <c r="K5" s="58" t="s">
        <v>1</v>
      </c>
      <c r="L5" s="59"/>
      <c r="M5" s="23"/>
      <c r="N5" s="62" t="s">
        <v>20</v>
      </c>
      <c r="O5" s="63"/>
    </row>
    <row r="6" spans="1:15" ht="15.75" thickBot="1" x14ac:dyDescent="0.3">
      <c r="B6" s="37" t="s">
        <v>331</v>
      </c>
      <c r="C6" s="57" t="s">
        <v>763</v>
      </c>
      <c r="D6" s="38" t="s">
        <v>21</v>
      </c>
      <c r="E6" s="38" t="s">
        <v>2</v>
      </c>
      <c r="F6" s="39" t="s">
        <v>3</v>
      </c>
      <c r="H6" s="2" t="s">
        <v>4</v>
      </c>
      <c r="I6" s="2" t="s">
        <v>5</v>
      </c>
      <c r="K6" s="2" t="s">
        <v>4</v>
      </c>
      <c r="L6" s="2" t="s">
        <v>5</v>
      </c>
      <c r="N6" s="24" t="s">
        <v>4</v>
      </c>
      <c r="O6" s="2" t="s">
        <v>5</v>
      </c>
    </row>
    <row r="7" spans="1:15" x14ac:dyDescent="0.25">
      <c r="D7" s="1"/>
      <c r="E7" s="1"/>
      <c r="F7" s="1"/>
      <c r="H7" s="2"/>
      <c r="I7" s="2"/>
      <c r="K7" s="2"/>
      <c r="L7" s="2"/>
      <c r="N7" s="24"/>
      <c r="O7" s="1"/>
    </row>
    <row r="8" spans="1:15" x14ac:dyDescent="0.25">
      <c r="B8" t="s">
        <v>813</v>
      </c>
      <c r="D8" s="1" t="s">
        <v>705</v>
      </c>
      <c r="E8" s="1"/>
      <c r="F8" s="1">
        <v>130</v>
      </c>
      <c r="H8" s="1">
        <v>0</v>
      </c>
      <c r="I8" s="1">
        <f t="shared" ref="I8:I66" si="0">F8*H8</f>
        <v>0</v>
      </c>
      <c r="K8" s="1">
        <v>0</v>
      </c>
      <c r="L8" s="1">
        <f>K8*F8</f>
        <v>0</v>
      </c>
      <c r="N8" s="1">
        <v>1</v>
      </c>
      <c r="O8" s="1">
        <f>N8*F8</f>
        <v>130</v>
      </c>
    </row>
    <row r="9" spans="1:15" x14ac:dyDescent="0.25">
      <c r="B9" t="s">
        <v>814</v>
      </c>
      <c r="D9" s="1" t="s">
        <v>706</v>
      </c>
      <c r="E9" s="1"/>
      <c r="F9" s="1">
        <v>45</v>
      </c>
      <c r="H9" s="1">
        <v>0</v>
      </c>
      <c r="I9" s="1">
        <f t="shared" si="0"/>
        <v>0</v>
      </c>
      <c r="K9" s="1">
        <v>0</v>
      </c>
      <c r="L9" s="1">
        <f t="shared" ref="L9:L66" si="1">K9*F9</f>
        <v>0</v>
      </c>
      <c r="N9" s="1">
        <v>1</v>
      </c>
      <c r="O9" s="1">
        <f t="shared" ref="O9:O66" si="2">N9*F9</f>
        <v>45</v>
      </c>
    </row>
    <row r="10" spans="1:15" x14ac:dyDescent="0.25">
      <c r="B10" t="s">
        <v>815</v>
      </c>
      <c r="D10" s="1" t="s">
        <v>91</v>
      </c>
      <c r="E10" s="1"/>
      <c r="F10" s="1">
        <v>10</v>
      </c>
      <c r="H10" s="1">
        <v>0</v>
      </c>
      <c r="I10" s="1">
        <f t="shared" si="0"/>
        <v>0</v>
      </c>
      <c r="K10" s="1">
        <v>0</v>
      </c>
      <c r="L10" s="1">
        <f t="shared" si="1"/>
        <v>0</v>
      </c>
      <c r="N10" s="1">
        <v>1</v>
      </c>
      <c r="O10" s="1">
        <f t="shared" si="2"/>
        <v>10</v>
      </c>
    </row>
    <row r="11" spans="1:15" x14ac:dyDescent="0.25">
      <c r="B11" t="s">
        <v>816</v>
      </c>
      <c r="D11" s="1" t="s">
        <v>92</v>
      </c>
      <c r="E11" s="1"/>
      <c r="F11" s="1">
        <v>10</v>
      </c>
      <c r="H11" s="1">
        <v>1</v>
      </c>
      <c r="I11" s="1">
        <f t="shared" si="0"/>
        <v>10</v>
      </c>
      <c r="K11" s="1">
        <v>1</v>
      </c>
      <c r="L11" s="1">
        <f t="shared" si="1"/>
        <v>10</v>
      </c>
      <c r="N11" s="1">
        <v>1</v>
      </c>
      <c r="O11" s="1">
        <f t="shared" si="2"/>
        <v>10</v>
      </c>
    </row>
    <row r="12" spans="1:15" x14ac:dyDescent="0.25">
      <c r="B12" t="s">
        <v>817</v>
      </c>
      <c r="D12" s="1" t="s">
        <v>93</v>
      </c>
      <c r="E12" s="1"/>
      <c r="F12" s="1">
        <v>5</v>
      </c>
      <c r="H12" s="1">
        <v>1</v>
      </c>
      <c r="I12" s="1">
        <f t="shared" si="0"/>
        <v>5</v>
      </c>
      <c r="K12" s="1">
        <v>1</v>
      </c>
      <c r="L12" s="1">
        <f t="shared" si="1"/>
        <v>5</v>
      </c>
      <c r="N12" s="1">
        <v>1</v>
      </c>
      <c r="O12" s="1">
        <f t="shared" si="2"/>
        <v>5</v>
      </c>
    </row>
    <row r="13" spans="1:15" x14ac:dyDescent="0.25">
      <c r="B13" t="s">
        <v>818</v>
      </c>
      <c r="D13" s="1" t="s">
        <v>94</v>
      </c>
      <c r="E13" s="1"/>
      <c r="F13" s="1">
        <v>0.5</v>
      </c>
      <c r="H13" s="1">
        <v>1</v>
      </c>
      <c r="I13" s="1">
        <f t="shared" si="0"/>
        <v>0.5</v>
      </c>
      <c r="K13" s="1">
        <v>1</v>
      </c>
      <c r="L13" s="1">
        <f t="shared" si="1"/>
        <v>0.5</v>
      </c>
      <c r="N13" s="1">
        <v>1</v>
      </c>
      <c r="O13" s="1">
        <f t="shared" si="2"/>
        <v>0.5</v>
      </c>
    </row>
    <row r="14" spans="1:15" x14ac:dyDescent="0.25">
      <c r="B14" t="s">
        <v>819</v>
      </c>
      <c r="D14" s="1" t="s">
        <v>95</v>
      </c>
      <c r="E14" s="1"/>
      <c r="F14" s="1">
        <v>0.5</v>
      </c>
      <c r="H14" s="1">
        <v>2</v>
      </c>
      <c r="I14" s="1">
        <f t="shared" si="0"/>
        <v>1</v>
      </c>
      <c r="K14" s="1">
        <v>2</v>
      </c>
      <c r="L14" s="1">
        <f t="shared" si="1"/>
        <v>1</v>
      </c>
      <c r="N14" s="1">
        <v>2</v>
      </c>
      <c r="O14" s="1">
        <f t="shared" si="2"/>
        <v>1</v>
      </c>
    </row>
    <row r="15" spans="1:15" x14ac:dyDescent="0.25">
      <c r="B15" t="s">
        <v>820</v>
      </c>
      <c r="D15" s="1" t="s">
        <v>96</v>
      </c>
      <c r="E15" s="1"/>
      <c r="F15" s="1">
        <v>3</v>
      </c>
      <c r="H15" s="1">
        <v>1</v>
      </c>
      <c r="I15" s="1">
        <f t="shared" si="0"/>
        <v>3</v>
      </c>
      <c r="K15" s="1">
        <v>1</v>
      </c>
      <c r="L15" s="1">
        <f t="shared" si="1"/>
        <v>3</v>
      </c>
      <c r="N15" s="1">
        <v>1</v>
      </c>
      <c r="O15" s="1">
        <f t="shared" si="2"/>
        <v>3</v>
      </c>
    </row>
    <row r="16" spans="1:15" x14ac:dyDescent="0.25">
      <c r="B16" t="s">
        <v>821</v>
      </c>
      <c r="D16" s="1" t="s">
        <v>97</v>
      </c>
      <c r="E16" s="1"/>
      <c r="F16" s="1">
        <v>5</v>
      </c>
      <c r="H16" s="1">
        <v>1</v>
      </c>
      <c r="I16" s="1">
        <f t="shared" si="0"/>
        <v>5</v>
      </c>
      <c r="K16" s="1">
        <v>1</v>
      </c>
      <c r="L16" s="1">
        <f t="shared" si="1"/>
        <v>5</v>
      </c>
      <c r="N16" s="1">
        <v>1</v>
      </c>
      <c r="O16" s="1">
        <f t="shared" si="2"/>
        <v>5</v>
      </c>
    </row>
    <row r="17" spans="2:15" x14ac:dyDescent="0.25">
      <c r="B17" t="s">
        <v>822</v>
      </c>
      <c r="D17" s="1" t="s">
        <v>98</v>
      </c>
      <c r="E17" s="1"/>
      <c r="F17" s="1">
        <v>5</v>
      </c>
      <c r="H17" s="1">
        <v>1</v>
      </c>
      <c r="I17" s="1">
        <f t="shared" si="0"/>
        <v>5</v>
      </c>
      <c r="K17" s="1">
        <v>1</v>
      </c>
      <c r="L17" s="1">
        <f t="shared" si="1"/>
        <v>5</v>
      </c>
      <c r="N17" s="1">
        <v>1</v>
      </c>
      <c r="O17" s="1">
        <f t="shared" si="2"/>
        <v>5</v>
      </c>
    </row>
    <row r="18" spans="2:15" x14ac:dyDescent="0.25">
      <c r="B18" t="s">
        <v>823</v>
      </c>
      <c r="D18" s="1" t="s">
        <v>703</v>
      </c>
      <c r="E18" s="1"/>
      <c r="F18" s="1">
        <v>25</v>
      </c>
      <c r="H18" s="1">
        <v>1</v>
      </c>
      <c r="I18" s="1">
        <f t="shared" si="0"/>
        <v>25</v>
      </c>
      <c r="K18" s="1">
        <v>1</v>
      </c>
      <c r="L18" s="1">
        <f t="shared" si="1"/>
        <v>25</v>
      </c>
      <c r="N18" s="1">
        <v>1</v>
      </c>
      <c r="O18" s="1">
        <f t="shared" si="2"/>
        <v>25</v>
      </c>
    </row>
    <row r="19" spans="2:15" x14ac:dyDescent="0.25">
      <c r="B19" t="s">
        <v>824</v>
      </c>
      <c r="D19" s="1" t="s">
        <v>703</v>
      </c>
      <c r="E19" s="1"/>
      <c r="F19" s="1">
        <v>80</v>
      </c>
      <c r="H19" s="1">
        <v>0</v>
      </c>
      <c r="I19" s="1">
        <f t="shared" si="0"/>
        <v>0</v>
      </c>
      <c r="K19" s="1">
        <v>0</v>
      </c>
      <c r="L19" s="1">
        <f t="shared" si="1"/>
        <v>0</v>
      </c>
      <c r="N19" s="1">
        <v>0</v>
      </c>
      <c r="O19" s="1">
        <f t="shared" si="2"/>
        <v>0</v>
      </c>
    </row>
    <row r="20" spans="2:15" x14ac:dyDescent="0.25">
      <c r="D20" s="1"/>
      <c r="E20" s="1"/>
      <c r="F20" s="1"/>
      <c r="H20" s="1"/>
      <c r="I20" s="1"/>
      <c r="K20" s="1"/>
      <c r="L20" s="1"/>
      <c r="N20" s="1"/>
      <c r="O20" s="1"/>
    </row>
    <row r="21" spans="2:15" x14ac:dyDescent="0.25">
      <c r="D21" s="3" t="s">
        <v>99</v>
      </c>
      <c r="E21" s="1"/>
      <c r="F21" s="1"/>
      <c r="H21" s="1"/>
      <c r="I21" s="1"/>
      <c r="K21" s="1"/>
      <c r="L21" s="1"/>
      <c r="N21" s="1"/>
      <c r="O21" s="1"/>
    </row>
    <row r="22" spans="2:15" x14ac:dyDescent="0.25">
      <c r="D22" s="3" t="s">
        <v>707</v>
      </c>
      <c r="E22" s="1"/>
      <c r="F22" s="1"/>
      <c r="H22" s="1"/>
      <c r="I22" s="1"/>
      <c r="K22" s="1"/>
      <c r="L22" s="1"/>
      <c r="N22" s="1"/>
      <c r="O22" s="1"/>
    </row>
    <row r="23" spans="2:15" x14ac:dyDescent="0.25">
      <c r="B23" t="s">
        <v>824</v>
      </c>
      <c r="D23" s="1" t="s">
        <v>100</v>
      </c>
      <c r="E23" s="1"/>
      <c r="F23" s="1">
        <v>2</v>
      </c>
      <c r="H23" s="1">
        <v>1</v>
      </c>
      <c r="I23" s="1">
        <f t="shared" si="0"/>
        <v>2</v>
      </c>
      <c r="K23" s="1">
        <f>H23*2</f>
        <v>2</v>
      </c>
      <c r="L23" s="1">
        <f t="shared" si="1"/>
        <v>4</v>
      </c>
      <c r="N23" s="1">
        <f>H23*2</f>
        <v>2</v>
      </c>
      <c r="O23" s="1">
        <f t="shared" si="2"/>
        <v>4</v>
      </c>
    </row>
    <row r="24" spans="2:15" x14ac:dyDescent="0.25">
      <c r="B24" t="s">
        <v>825</v>
      </c>
      <c r="D24" s="1" t="s">
        <v>101</v>
      </c>
      <c r="E24" s="1" t="s">
        <v>102</v>
      </c>
      <c r="F24" s="1">
        <v>1</v>
      </c>
      <c r="H24" s="1">
        <v>5</v>
      </c>
      <c r="I24" s="1">
        <f t="shared" si="0"/>
        <v>5</v>
      </c>
      <c r="K24" s="1">
        <f>H24*2</f>
        <v>10</v>
      </c>
      <c r="L24" s="1">
        <f t="shared" si="1"/>
        <v>10</v>
      </c>
      <c r="N24" s="1">
        <f>H24*2</f>
        <v>10</v>
      </c>
      <c r="O24" s="1">
        <f t="shared" si="2"/>
        <v>10</v>
      </c>
    </row>
    <row r="25" spans="2:15" ht="15" customHeight="1" x14ac:dyDescent="0.25">
      <c r="B25" t="s">
        <v>826</v>
      </c>
      <c r="D25" s="25" t="s">
        <v>103</v>
      </c>
      <c r="E25" s="1"/>
      <c r="F25" s="1">
        <v>1</v>
      </c>
      <c r="H25" s="1">
        <v>5</v>
      </c>
      <c r="I25" s="1">
        <f t="shared" si="0"/>
        <v>5</v>
      </c>
      <c r="K25" s="1">
        <f t="shared" ref="K25:K43" si="3">H25*2</f>
        <v>10</v>
      </c>
      <c r="L25" s="1">
        <f t="shared" si="1"/>
        <v>10</v>
      </c>
      <c r="N25" s="1">
        <f t="shared" ref="N25:N43" si="4">H25*2</f>
        <v>10</v>
      </c>
      <c r="O25" s="1">
        <f t="shared" si="2"/>
        <v>10</v>
      </c>
    </row>
    <row r="26" spans="2:15" x14ac:dyDescent="0.25">
      <c r="B26" t="s">
        <v>827</v>
      </c>
      <c r="D26" s="25" t="s">
        <v>104</v>
      </c>
      <c r="E26" s="1"/>
      <c r="F26" s="1">
        <v>1</v>
      </c>
      <c r="H26" s="1">
        <v>5</v>
      </c>
      <c r="I26" s="1">
        <f t="shared" si="0"/>
        <v>5</v>
      </c>
      <c r="K26" s="1">
        <f t="shared" si="3"/>
        <v>10</v>
      </c>
      <c r="L26" s="1">
        <f t="shared" si="1"/>
        <v>10</v>
      </c>
      <c r="N26" s="1">
        <f t="shared" si="4"/>
        <v>10</v>
      </c>
      <c r="O26" s="1">
        <f t="shared" si="2"/>
        <v>10</v>
      </c>
    </row>
    <row r="27" spans="2:15" x14ac:dyDescent="0.25">
      <c r="B27" t="s">
        <v>828</v>
      </c>
      <c r="D27" s="25" t="s">
        <v>105</v>
      </c>
      <c r="E27" s="1"/>
      <c r="F27" s="1">
        <v>1</v>
      </c>
      <c r="H27" s="1">
        <v>5</v>
      </c>
      <c r="I27" s="1">
        <f t="shared" si="0"/>
        <v>5</v>
      </c>
      <c r="K27" s="1">
        <f t="shared" si="3"/>
        <v>10</v>
      </c>
      <c r="L27" s="1">
        <f t="shared" si="1"/>
        <v>10</v>
      </c>
      <c r="N27" s="1">
        <f t="shared" si="4"/>
        <v>10</v>
      </c>
      <c r="O27" s="1">
        <f t="shared" si="2"/>
        <v>10</v>
      </c>
    </row>
    <row r="28" spans="2:15" x14ac:dyDescent="0.25">
      <c r="B28" t="s">
        <v>829</v>
      </c>
      <c r="D28" s="25" t="s">
        <v>106</v>
      </c>
      <c r="E28" s="1"/>
      <c r="F28" s="1">
        <v>1</v>
      </c>
      <c r="H28" s="1">
        <v>5</v>
      </c>
      <c r="I28" s="1">
        <f t="shared" si="0"/>
        <v>5</v>
      </c>
      <c r="K28" s="1">
        <f t="shared" si="3"/>
        <v>10</v>
      </c>
      <c r="L28" s="1">
        <f t="shared" si="1"/>
        <v>10</v>
      </c>
      <c r="N28" s="1">
        <f t="shared" si="4"/>
        <v>10</v>
      </c>
      <c r="O28" s="1">
        <f t="shared" si="2"/>
        <v>10</v>
      </c>
    </row>
    <row r="29" spans="2:15" x14ac:dyDescent="0.25">
      <c r="B29" t="s">
        <v>830</v>
      </c>
      <c r="D29" s="1" t="s">
        <v>107</v>
      </c>
      <c r="E29" s="1"/>
      <c r="F29" s="1">
        <v>0.5</v>
      </c>
      <c r="H29" s="1">
        <v>5</v>
      </c>
      <c r="I29" s="1">
        <f t="shared" si="0"/>
        <v>2.5</v>
      </c>
      <c r="K29" s="1">
        <f t="shared" si="3"/>
        <v>10</v>
      </c>
      <c r="L29" s="1">
        <f t="shared" si="1"/>
        <v>5</v>
      </c>
      <c r="N29" s="1">
        <f t="shared" si="4"/>
        <v>10</v>
      </c>
      <c r="O29" s="1">
        <f t="shared" si="2"/>
        <v>5</v>
      </c>
    </row>
    <row r="30" spans="2:15" x14ac:dyDescent="0.25">
      <c r="B30" t="s">
        <v>831</v>
      </c>
      <c r="D30" s="1" t="s">
        <v>108</v>
      </c>
      <c r="E30" s="1"/>
      <c r="F30" s="1">
        <v>0.5</v>
      </c>
      <c r="H30" s="1">
        <v>5</v>
      </c>
      <c r="I30" s="1">
        <f t="shared" si="0"/>
        <v>2.5</v>
      </c>
      <c r="K30" s="1">
        <f t="shared" si="3"/>
        <v>10</v>
      </c>
      <c r="L30" s="1">
        <f t="shared" si="1"/>
        <v>5</v>
      </c>
      <c r="N30" s="1">
        <f t="shared" si="4"/>
        <v>10</v>
      </c>
      <c r="O30" s="1">
        <f t="shared" si="2"/>
        <v>5</v>
      </c>
    </row>
    <row r="31" spans="2:15" x14ac:dyDescent="0.25">
      <c r="B31" t="s">
        <v>832</v>
      </c>
      <c r="D31" s="1" t="s">
        <v>109</v>
      </c>
      <c r="E31" s="1"/>
      <c r="F31" s="1">
        <v>0.5</v>
      </c>
      <c r="H31" s="1">
        <v>5</v>
      </c>
      <c r="I31" s="1">
        <f t="shared" si="0"/>
        <v>2.5</v>
      </c>
      <c r="K31" s="1">
        <f t="shared" si="3"/>
        <v>10</v>
      </c>
      <c r="L31" s="1">
        <f t="shared" si="1"/>
        <v>5</v>
      </c>
      <c r="N31" s="1">
        <f t="shared" si="4"/>
        <v>10</v>
      </c>
      <c r="O31" s="1">
        <f t="shared" si="2"/>
        <v>5</v>
      </c>
    </row>
    <row r="32" spans="2:15" x14ac:dyDescent="0.25">
      <c r="B32" t="s">
        <v>833</v>
      </c>
      <c r="D32" s="1" t="s">
        <v>110</v>
      </c>
      <c r="E32" s="1"/>
      <c r="F32" s="1">
        <v>0.5</v>
      </c>
      <c r="H32" s="1">
        <v>5</v>
      </c>
      <c r="I32" s="1">
        <f t="shared" si="0"/>
        <v>2.5</v>
      </c>
      <c r="K32" s="1">
        <f t="shared" si="3"/>
        <v>10</v>
      </c>
      <c r="L32" s="1">
        <f t="shared" si="1"/>
        <v>5</v>
      </c>
      <c r="N32" s="1">
        <f t="shared" si="4"/>
        <v>10</v>
      </c>
      <c r="O32" s="1">
        <f t="shared" si="2"/>
        <v>5</v>
      </c>
    </row>
    <row r="33" spans="2:15" x14ac:dyDescent="0.25">
      <c r="B33" t="s">
        <v>834</v>
      </c>
      <c r="D33" s="1" t="s">
        <v>111</v>
      </c>
      <c r="E33" s="1"/>
      <c r="F33" s="1">
        <v>2.5</v>
      </c>
      <c r="H33" s="1">
        <v>2</v>
      </c>
      <c r="I33" s="1">
        <f t="shared" si="0"/>
        <v>5</v>
      </c>
      <c r="K33" s="1">
        <f t="shared" si="3"/>
        <v>4</v>
      </c>
      <c r="L33" s="1">
        <f t="shared" si="1"/>
        <v>10</v>
      </c>
      <c r="N33" s="1">
        <f t="shared" si="4"/>
        <v>4</v>
      </c>
      <c r="O33" s="1">
        <f t="shared" si="2"/>
        <v>10</v>
      </c>
    </row>
    <row r="34" spans="2:15" x14ac:dyDescent="0.25">
      <c r="B34" t="s">
        <v>835</v>
      </c>
      <c r="D34" s="1" t="s">
        <v>112</v>
      </c>
      <c r="E34" s="1" t="s">
        <v>113</v>
      </c>
      <c r="F34" s="1">
        <v>4.5</v>
      </c>
      <c r="H34" s="1">
        <v>2</v>
      </c>
      <c r="I34" s="1">
        <f t="shared" si="0"/>
        <v>9</v>
      </c>
      <c r="K34" s="1">
        <f t="shared" si="3"/>
        <v>4</v>
      </c>
      <c r="L34" s="1">
        <f t="shared" si="1"/>
        <v>18</v>
      </c>
      <c r="N34" s="1">
        <f t="shared" si="4"/>
        <v>4</v>
      </c>
      <c r="O34" s="1">
        <f t="shared" si="2"/>
        <v>18</v>
      </c>
    </row>
    <row r="35" spans="2:15" x14ac:dyDescent="0.25">
      <c r="B35" t="s">
        <v>836</v>
      </c>
      <c r="D35" s="1" t="s">
        <v>114</v>
      </c>
      <c r="E35" s="1"/>
      <c r="F35" s="1">
        <v>1</v>
      </c>
      <c r="H35" s="1">
        <v>5</v>
      </c>
      <c r="I35" s="1">
        <f t="shared" si="0"/>
        <v>5</v>
      </c>
      <c r="K35" s="1">
        <f t="shared" si="3"/>
        <v>10</v>
      </c>
      <c r="L35" s="1">
        <f t="shared" si="1"/>
        <v>10</v>
      </c>
      <c r="N35" s="1">
        <f t="shared" si="4"/>
        <v>10</v>
      </c>
      <c r="O35" s="1">
        <f t="shared" si="2"/>
        <v>10</v>
      </c>
    </row>
    <row r="36" spans="2:15" x14ac:dyDescent="0.25">
      <c r="B36" t="s">
        <v>837</v>
      </c>
      <c r="D36" s="1" t="s">
        <v>115</v>
      </c>
      <c r="E36" s="1"/>
      <c r="F36" s="1">
        <v>5</v>
      </c>
      <c r="H36" s="1">
        <v>1</v>
      </c>
      <c r="I36" s="1">
        <f t="shared" si="0"/>
        <v>5</v>
      </c>
      <c r="K36" s="1">
        <f t="shared" si="3"/>
        <v>2</v>
      </c>
      <c r="L36" s="1">
        <f t="shared" si="1"/>
        <v>10</v>
      </c>
      <c r="N36" s="1">
        <f t="shared" si="4"/>
        <v>2</v>
      </c>
      <c r="O36" s="1">
        <f t="shared" si="2"/>
        <v>10</v>
      </c>
    </row>
    <row r="37" spans="2:15" x14ac:dyDescent="0.25">
      <c r="B37" t="s">
        <v>838</v>
      </c>
      <c r="D37" s="1" t="s">
        <v>116</v>
      </c>
      <c r="E37" s="1"/>
      <c r="F37" s="1">
        <v>5</v>
      </c>
      <c r="H37" s="1">
        <v>1</v>
      </c>
      <c r="I37" s="1">
        <f t="shared" si="0"/>
        <v>5</v>
      </c>
      <c r="K37" s="1">
        <f t="shared" si="3"/>
        <v>2</v>
      </c>
      <c r="L37" s="1">
        <f t="shared" si="1"/>
        <v>10</v>
      </c>
      <c r="N37" s="1">
        <f t="shared" si="4"/>
        <v>2</v>
      </c>
      <c r="O37" s="1">
        <f t="shared" si="2"/>
        <v>10</v>
      </c>
    </row>
    <row r="38" spans="2:15" x14ac:dyDescent="0.25">
      <c r="B38" t="s">
        <v>839</v>
      </c>
      <c r="D38" s="1" t="s">
        <v>117</v>
      </c>
      <c r="E38" s="1"/>
      <c r="F38" s="1">
        <v>6</v>
      </c>
      <c r="H38" s="1">
        <v>1</v>
      </c>
      <c r="I38" s="1">
        <f t="shared" si="0"/>
        <v>6</v>
      </c>
      <c r="K38" s="1">
        <f t="shared" si="3"/>
        <v>2</v>
      </c>
      <c r="L38" s="1">
        <f t="shared" si="1"/>
        <v>12</v>
      </c>
      <c r="N38" s="1">
        <f t="shared" si="4"/>
        <v>2</v>
      </c>
      <c r="O38" s="1">
        <f t="shared" si="2"/>
        <v>12</v>
      </c>
    </row>
    <row r="39" spans="2:15" x14ac:dyDescent="0.25">
      <c r="B39" t="s">
        <v>840</v>
      </c>
      <c r="D39" s="1" t="s">
        <v>118</v>
      </c>
      <c r="E39" s="1"/>
      <c r="F39" s="1">
        <v>0.25</v>
      </c>
      <c r="H39" s="1">
        <v>24</v>
      </c>
      <c r="I39" s="1">
        <f t="shared" si="0"/>
        <v>6</v>
      </c>
      <c r="K39" s="1">
        <f t="shared" si="3"/>
        <v>48</v>
      </c>
      <c r="L39" s="1">
        <f t="shared" si="1"/>
        <v>12</v>
      </c>
      <c r="N39" s="1">
        <f t="shared" si="4"/>
        <v>48</v>
      </c>
      <c r="O39" s="1">
        <f t="shared" si="2"/>
        <v>12</v>
      </c>
    </row>
    <row r="40" spans="2:15" x14ac:dyDescent="0.25">
      <c r="B40" t="s">
        <v>841</v>
      </c>
      <c r="D40" s="1" t="s">
        <v>119</v>
      </c>
      <c r="E40" s="1"/>
      <c r="F40" s="1">
        <v>1</v>
      </c>
      <c r="H40" s="1">
        <v>2</v>
      </c>
      <c r="I40" s="1">
        <f t="shared" si="0"/>
        <v>2</v>
      </c>
      <c r="K40" s="1">
        <f t="shared" si="3"/>
        <v>4</v>
      </c>
      <c r="L40" s="1">
        <f t="shared" si="1"/>
        <v>4</v>
      </c>
      <c r="N40" s="1">
        <f t="shared" si="4"/>
        <v>4</v>
      </c>
      <c r="O40" s="1">
        <f t="shared" si="2"/>
        <v>4</v>
      </c>
    </row>
    <row r="41" spans="2:15" x14ac:dyDescent="0.25">
      <c r="B41" t="s">
        <v>842</v>
      </c>
      <c r="D41" s="1" t="s">
        <v>120</v>
      </c>
      <c r="E41" s="1"/>
      <c r="F41" s="1">
        <v>2</v>
      </c>
      <c r="H41" s="1">
        <v>2</v>
      </c>
      <c r="I41" s="1">
        <f t="shared" si="0"/>
        <v>4</v>
      </c>
      <c r="K41" s="1">
        <f t="shared" si="3"/>
        <v>4</v>
      </c>
      <c r="L41" s="1">
        <f t="shared" si="1"/>
        <v>8</v>
      </c>
      <c r="N41" s="1">
        <f t="shared" si="4"/>
        <v>4</v>
      </c>
      <c r="O41" s="1">
        <f t="shared" si="2"/>
        <v>8</v>
      </c>
    </row>
    <row r="42" spans="2:15" x14ac:dyDescent="0.25">
      <c r="B42" t="s">
        <v>843</v>
      </c>
      <c r="D42" s="1" t="s">
        <v>121</v>
      </c>
      <c r="E42" s="1"/>
      <c r="F42" s="1">
        <v>1</v>
      </c>
      <c r="H42" s="1">
        <v>2</v>
      </c>
      <c r="I42" s="1">
        <f t="shared" si="0"/>
        <v>2</v>
      </c>
      <c r="K42" s="1">
        <f t="shared" si="3"/>
        <v>4</v>
      </c>
      <c r="L42" s="1">
        <f t="shared" si="1"/>
        <v>4</v>
      </c>
      <c r="N42" s="1">
        <f t="shared" si="4"/>
        <v>4</v>
      </c>
      <c r="O42" s="1">
        <f t="shared" si="2"/>
        <v>4</v>
      </c>
    </row>
    <row r="43" spans="2:15" x14ac:dyDescent="0.25">
      <c r="B43" t="s">
        <v>844</v>
      </c>
      <c r="D43" s="1" t="s">
        <v>122</v>
      </c>
      <c r="E43" s="1"/>
      <c r="F43" s="1">
        <v>2</v>
      </c>
      <c r="H43" s="1">
        <v>2</v>
      </c>
      <c r="I43" s="1">
        <f t="shared" si="0"/>
        <v>4</v>
      </c>
      <c r="K43" s="1">
        <f t="shared" si="3"/>
        <v>4</v>
      </c>
      <c r="L43" s="1">
        <f t="shared" si="1"/>
        <v>8</v>
      </c>
      <c r="N43" s="1">
        <f t="shared" si="4"/>
        <v>4</v>
      </c>
      <c r="O43" s="1">
        <f t="shared" si="2"/>
        <v>8</v>
      </c>
    </row>
    <row r="44" spans="2:15" x14ac:dyDescent="0.25">
      <c r="D44" s="1"/>
      <c r="E44" s="1"/>
      <c r="F44" s="1"/>
      <c r="H44" s="1"/>
      <c r="I44" s="1"/>
      <c r="K44" s="1"/>
      <c r="L44" s="1"/>
      <c r="N44" s="1"/>
      <c r="O44" s="1"/>
    </row>
    <row r="45" spans="2:15" x14ac:dyDescent="0.25">
      <c r="D45" s="3" t="s">
        <v>708</v>
      </c>
      <c r="E45" s="1"/>
      <c r="F45" s="1"/>
      <c r="H45" s="1"/>
      <c r="I45" s="1"/>
      <c r="K45" s="1"/>
      <c r="L45" s="1"/>
      <c r="N45" s="1"/>
      <c r="O45" s="1"/>
    </row>
    <row r="46" spans="2:15" x14ac:dyDescent="0.25">
      <c r="B46" t="s">
        <v>844</v>
      </c>
      <c r="D46" s="1" t="s">
        <v>123</v>
      </c>
      <c r="E46" s="1"/>
      <c r="F46" s="1">
        <v>3</v>
      </c>
      <c r="H46" s="1">
        <v>1</v>
      </c>
      <c r="I46" s="1">
        <f t="shared" si="0"/>
        <v>3</v>
      </c>
      <c r="K46" s="1">
        <v>1</v>
      </c>
      <c r="L46" s="1">
        <f t="shared" si="1"/>
        <v>3</v>
      </c>
      <c r="N46" s="1">
        <f>H46*2</f>
        <v>2</v>
      </c>
      <c r="O46" s="1">
        <f t="shared" si="2"/>
        <v>6</v>
      </c>
    </row>
    <row r="47" spans="2:15" x14ac:dyDescent="0.25">
      <c r="B47" t="s">
        <v>845</v>
      </c>
      <c r="D47" s="1" t="s">
        <v>124</v>
      </c>
      <c r="E47" s="1"/>
      <c r="F47" s="1">
        <v>4</v>
      </c>
      <c r="H47" s="1">
        <v>1</v>
      </c>
      <c r="I47" s="1">
        <f t="shared" si="0"/>
        <v>4</v>
      </c>
      <c r="K47" s="1">
        <v>1</v>
      </c>
      <c r="L47" s="1">
        <f t="shared" si="1"/>
        <v>4</v>
      </c>
      <c r="N47" s="1">
        <f t="shared" ref="N47:N66" si="5">H47*2</f>
        <v>2</v>
      </c>
      <c r="O47" s="1">
        <f t="shared" si="2"/>
        <v>8</v>
      </c>
    </row>
    <row r="48" spans="2:15" x14ac:dyDescent="0.25">
      <c r="B48" t="s">
        <v>846</v>
      </c>
      <c r="D48" s="1" t="s">
        <v>125</v>
      </c>
      <c r="E48" s="1"/>
      <c r="F48" s="1">
        <v>1</v>
      </c>
      <c r="H48" s="1">
        <v>1</v>
      </c>
      <c r="I48" s="1">
        <f t="shared" si="0"/>
        <v>1</v>
      </c>
      <c r="K48" s="1">
        <v>1</v>
      </c>
      <c r="L48" s="1">
        <f t="shared" si="1"/>
        <v>1</v>
      </c>
      <c r="N48" s="1">
        <f t="shared" si="5"/>
        <v>2</v>
      </c>
      <c r="O48" s="1">
        <f t="shared" si="2"/>
        <v>2</v>
      </c>
    </row>
    <row r="49" spans="2:15" x14ac:dyDescent="0.25">
      <c r="B49" t="s">
        <v>847</v>
      </c>
      <c r="D49" s="1" t="s">
        <v>126</v>
      </c>
      <c r="E49" s="1"/>
      <c r="F49" s="1">
        <v>5</v>
      </c>
      <c r="H49" s="1">
        <v>1</v>
      </c>
      <c r="I49" s="1">
        <f t="shared" si="0"/>
        <v>5</v>
      </c>
      <c r="K49" s="1">
        <v>1</v>
      </c>
      <c r="L49" s="1">
        <f t="shared" si="1"/>
        <v>5</v>
      </c>
      <c r="N49" s="1">
        <f t="shared" si="5"/>
        <v>2</v>
      </c>
      <c r="O49" s="1">
        <f t="shared" si="2"/>
        <v>10</v>
      </c>
    </row>
    <row r="50" spans="2:15" x14ac:dyDescent="0.25">
      <c r="B50" t="s">
        <v>848</v>
      </c>
      <c r="D50" s="1" t="s">
        <v>127</v>
      </c>
      <c r="E50" s="1"/>
      <c r="F50" s="1">
        <v>0.25</v>
      </c>
      <c r="H50" s="1">
        <v>2</v>
      </c>
      <c r="I50" s="1">
        <f t="shared" si="0"/>
        <v>0.5</v>
      </c>
      <c r="K50" s="1">
        <v>2</v>
      </c>
      <c r="L50" s="1">
        <f t="shared" si="1"/>
        <v>0.5</v>
      </c>
      <c r="N50" s="1">
        <f t="shared" si="5"/>
        <v>4</v>
      </c>
      <c r="O50" s="1">
        <f t="shared" si="2"/>
        <v>1</v>
      </c>
    </row>
    <row r="51" spans="2:15" x14ac:dyDescent="0.25">
      <c r="B51" t="s">
        <v>849</v>
      </c>
      <c r="D51" s="1" t="s">
        <v>128</v>
      </c>
      <c r="E51" s="1"/>
      <c r="F51" s="1">
        <v>0.25</v>
      </c>
      <c r="H51" s="1">
        <v>2</v>
      </c>
      <c r="I51" s="1">
        <f t="shared" si="0"/>
        <v>0.5</v>
      </c>
      <c r="K51" s="1">
        <v>2</v>
      </c>
      <c r="L51" s="1">
        <f t="shared" si="1"/>
        <v>0.5</v>
      </c>
      <c r="N51" s="1">
        <f t="shared" si="5"/>
        <v>4</v>
      </c>
      <c r="O51" s="1">
        <f t="shared" si="2"/>
        <v>1</v>
      </c>
    </row>
    <row r="52" spans="2:15" x14ac:dyDescent="0.25">
      <c r="B52" t="s">
        <v>850</v>
      </c>
      <c r="D52" s="1" t="s">
        <v>129</v>
      </c>
      <c r="E52" s="1"/>
      <c r="F52" s="1">
        <v>0.5</v>
      </c>
      <c r="H52" s="1">
        <v>5</v>
      </c>
      <c r="I52" s="1">
        <f t="shared" si="0"/>
        <v>2.5</v>
      </c>
      <c r="K52" s="1">
        <v>5</v>
      </c>
      <c r="L52" s="1">
        <f t="shared" si="1"/>
        <v>2.5</v>
      </c>
      <c r="N52" s="1">
        <f t="shared" si="5"/>
        <v>10</v>
      </c>
      <c r="O52" s="1">
        <f t="shared" si="2"/>
        <v>5</v>
      </c>
    </row>
    <row r="53" spans="2:15" x14ac:dyDescent="0.25">
      <c r="B53" t="s">
        <v>851</v>
      </c>
      <c r="D53" s="1" t="s">
        <v>130</v>
      </c>
      <c r="E53" s="1"/>
      <c r="F53" s="1">
        <v>2</v>
      </c>
      <c r="H53" s="1">
        <v>2</v>
      </c>
      <c r="I53" s="1">
        <f t="shared" si="0"/>
        <v>4</v>
      </c>
      <c r="K53" s="1">
        <v>2</v>
      </c>
      <c r="L53" s="1">
        <f t="shared" si="1"/>
        <v>4</v>
      </c>
      <c r="N53" s="1">
        <f t="shared" si="5"/>
        <v>4</v>
      </c>
      <c r="O53" s="1">
        <f t="shared" si="2"/>
        <v>8</v>
      </c>
    </row>
    <row r="54" spans="2:15" x14ac:dyDescent="0.25">
      <c r="B54" t="s">
        <v>852</v>
      </c>
      <c r="D54" s="1" t="s">
        <v>131</v>
      </c>
      <c r="E54" s="1"/>
      <c r="F54" s="1">
        <v>1.5</v>
      </c>
      <c r="H54" s="1">
        <v>2</v>
      </c>
      <c r="I54" s="1">
        <f t="shared" si="0"/>
        <v>3</v>
      </c>
      <c r="K54" s="1">
        <v>2</v>
      </c>
      <c r="L54" s="1">
        <f t="shared" si="1"/>
        <v>3</v>
      </c>
      <c r="N54" s="1">
        <f t="shared" si="5"/>
        <v>4</v>
      </c>
      <c r="O54" s="1">
        <f t="shared" si="2"/>
        <v>6</v>
      </c>
    </row>
    <row r="55" spans="2:15" x14ac:dyDescent="0.25">
      <c r="B55" t="s">
        <v>853</v>
      </c>
      <c r="D55" s="1" t="s">
        <v>132</v>
      </c>
      <c r="E55" s="1"/>
      <c r="F55" s="1">
        <v>2</v>
      </c>
      <c r="H55" s="1">
        <v>2</v>
      </c>
      <c r="I55" s="1">
        <f t="shared" si="0"/>
        <v>4</v>
      </c>
      <c r="K55" s="1">
        <v>2</v>
      </c>
      <c r="L55" s="1">
        <f t="shared" si="1"/>
        <v>4</v>
      </c>
      <c r="N55" s="1">
        <f t="shared" si="5"/>
        <v>4</v>
      </c>
      <c r="O55" s="1">
        <f t="shared" si="2"/>
        <v>8</v>
      </c>
    </row>
    <row r="56" spans="2:15" x14ac:dyDescent="0.25">
      <c r="B56" t="s">
        <v>854</v>
      </c>
      <c r="D56" s="1" t="s">
        <v>133</v>
      </c>
      <c r="E56" s="1"/>
      <c r="F56" s="1">
        <v>2</v>
      </c>
      <c r="H56" s="1">
        <v>2</v>
      </c>
      <c r="I56" s="1">
        <f t="shared" si="0"/>
        <v>4</v>
      </c>
      <c r="K56" s="1">
        <v>2</v>
      </c>
      <c r="L56" s="1">
        <f t="shared" si="1"/>
        <v>4</v>
      </c>
      <c r="N56" s="1">
        <f t="shared" si="5"/>
        <v>4</v>
      </c>
      <c r="O56" s="1">
        <f t="shared" si="2"/>
        <v>8</v>
      </c>
    </row>
    <row r="57" spans="2:15" x14ac:dyDescent="0.25">
      <c r="B57" t="s">
        <v>855</v>
      </c>
      <c r="D57" s="1" t="s">
        <v>134</v>
      </c>
      <c r="E57" s="1"/>
      <c r="F57" s="1">
        <v>1</v>
      </c>
      <c r="H57" s="1">
        <v>3</v>
      </c>
      <c r="I57" s="1">
        <f t="shared" si="0"/>
        <v>3</v>
      </c>
      <c r="K57" s="1">
        <v>3</v>
      </c>
      <c r="L57" s="1">
        <f t="shared" si="1"/>
        <v>3</v>
      </c>
      <c r="N57" s="1">
        <f t="shared" si="5"/>
        <v>6</v>
      </c>
      <c r="O57" s="1">
        <f t="shared" si="2"/>
        <v>6</v>
      </c>
    </row>
    <row r="58" spans="2:15" x14ac:dyDescent="0.25">
      <c r="B58" t="s">
        <v>856</v>
      </c>
      <c r="D58" s="1" t="s">
        <v>135</v>
      </c>
      <c r="E58" s="1" t="s">
        <v>136</v>
      </c>
      <c r="F58" s="1">
        <v>3</v>
      </c>
      <c r="H58" s="1">
        <v>2</v>
      </c>
      <c r="I58" s="1">
        <f t="shared" si="0"/>
        <v>6</v>
      </c>
      <c r="K58" s="1">
        <v>2</v>
      </c>
      <c r="L58" s="1">
        <f t="shared" si="1"/>
        <v>6</v>
      </c>
      <c r="N58" s="1">
        <f t="shared" si="5"/>
        <v>4</v>
      </c>
      <c r="O58" s="1">
        <f t="shared" si="2"/>
        <v>12</v>
      </c>
    </row>
    <row r="59" spans="2:15" x14ac:dyDescent="0.25">
      <c r="B59" t="s">
        <v>857</v>
      </c>
      <c r="D59" s="1" t="s">
        <v>137</v>
      </c>
      <c r="E59" s="1" t="s">
        <v>138</v>
      </c>
      <c r="F59" s="1">
        <v>3</v>
      </c>
      <c r="H59" s="1">
        <v>2</v>
      </c>
      <c r="I59" s="1">
        <f t="shared" si="0"/>
        <v>6</v>
      </c>
      <c r="K59" s="1">
        <v>2</v>
      </c>
      <c r="L59" s="1">
        <f t="shared" si="1"/>
        <v>6</v>
      </c>
      <c r="N59" s="1">
        <f t="shared" si="5"/>
        <v>4</v>
      </c>
      <c r="O59" s="1">
        <f t="shared" si="2"/>
        <v>12</v>
      </c>
    </row>
    <row r="60" spans="2:15" x14ac:dyDescent="0.25">
      <c r="B60" t="s">
        <v>858</v>
      </c>
      <c r="D60" s="1" t="s">
        <v>139</v>
      </c>
      <c r="E60" s="1"/>
      <c r="F60" s="1">
        <v>0.5</v>
      </c>
      <c r="H60" s="1">
        <v>2</v>
      </c>
      <c r="I60" s="1">
        <f t="shared" si="0"/>
        <v>1</v>
      </c>
      <c r="K60" s="1">
        <v>2</v>
      </c>
      <c r="L60" s="1">
        <f t="shared" si="1"/>
        <v>1</v>
      </c>
      <c r="N60" s="1">
        <f t="shared" si="5"/>
        <v>4</v>
      </c>
      <c r="O60" s="1">
        <f t="shared" si="2"/>
        <v>2</v>
      </c>
    </row>
    <row r="61" spans="2:15" x14ac:dyDescent="0.25">
      <c r="B61" t="s">
        <v>859</v>
      </c>
      <c r="D61" s="1" t="s">
        <v>140</v>
      </c>
      <c r="E61" s="1"/>
      <c r="F61" s="1">
        <v>3</v>
      </c>
      <c r="H61" s="1">
        <v>2</v>
      </c>
      <c r="I61" s="1">
        <f t="shared" si="0"/>
        <v>6</v>
      </c>
      <c r="K61" s="1">
        <v>2</v>
      </c>
      <c r="L61" s="1">
        <f t="shared" si="1"/>
        <v>6</v>
      </c>
      <c r="N61" s="1">
        <f t="shared" si="5"/>
        <v>4</v>
      </c>
      <c r="O61" s="1">
        <f t="shared" si="2"/>
        <v>12</v>
      </c>
    </row>
    <row r="62" spans="2:15" x14ac:dyDescent="0.25">
      <c r="B62" t="s">
        <v>860</v>
      </c>
      <c r="D62" s="1" t="s">
        <v>141</v>
      </c>
      <c r="E62" s="1"/>
      <c r="F62" s="1">
        <v>2</v>
      </c>
      <c r="H62" s="1">
        <v>2</v>
      </c>
      <c r="I62" s="1">
        <f t="shared" si="0"/>
        <v>4</v>
      </c>
      <c r="K62" s="1">
        <v>2</v>
      </c>
      <c r="L62" s="1">
        <f t="shared" si="1"/>
        <v>4</v>
      </c>
      <c r="N62" s="1">
        <f t="shared" si="5"/>
        <v>4</v>
      </c>
      <c r="O62" s="1">
        <f t="shared" si="2"/>
        <v>8</v>
      </c>
    </row>
    <row r="63" spans="2:15" x14ac:dyDescent="0.25">
      <c r="B63" t="s">
        <v>861</v>
      </c>
      <c r="D63" s="1" t="s">
        <v>142</v>
      </c>
      <c r="E63" s="1"/>
      <c r="F63" s="1">
        <v>3</v>
      </c>
      <c r="H63" s="1">
        <v>2</v>
      </c>
      <c r="I63" s="1">
        <f t="shared" si="0"/>
        <v>6</v>
      </c>
      <c r="K63" s="1">
        <v>2</v>
      </c>
      <c r="L63" s="1">
        <f t="shared" si="1"/>
        <v>6</v>
      </c>
      <c r="N63" s="1">
        <f t="shared" si="5"/>
        <v>4</v>
      </c>
      <c r="O63" s="1">
        <f t="shared" si="2"/>
        <v>12</v>
      </c>
    </row>
    <row r="64" spans="2:15" x14ac:dyDescent="0.25">
      <c r="B64" t="s">
        <v>862</v>
      </c>
      <c r="D64" s="1" t="s">
        <v>143</v>
      </c>
      <c r="E64" s="1"/>
      <c r="F64" s="1">
        <v>0.5</v>
      </c>
      <c r="H64" s="1">
        <v>2</v>
      </c>
      <c r="I64" s="1">
        <f t="shared" si="0"/>
        <v>1</v>
      </c>
      <c r="K64" s="1">
        <v>2</v>
      </c>
      <c r="L64" s="1">
        <f t="shared" si="1"/>
        <v>1</v>
      </c>
      <c r="N64" s="1">
        <f t="shared" si="5"/>
        <v>4</v>
      </c>
      <c r="O64" s="1">
        <f t="shared" si="2"/>
        <v>2</v>
      </c>
    </row>
    <row r="65" spans="2:15" x14ac:dyDescent="0.25">
      <c r="B65" t="s">
        <v>863</v>
      </c>
      <c r="D65" s="1" t="s">
        <v>144</v>
      </c>
      <c r="E65" s="1"/>
      <c r="F65" s="1">
        <v>1</v>
      </c>
      <c r="H65" s="1">
        <v>2</v>
      </c>
      <c r="I65" s="1">
        <f t="shared" si="0"/>
        <v>2</v>
      </c>
      <c r="K65" s="1">
        <v>2</v>
      </c>
      <c r="L65" s="1">
        <f t="shared" si="1"/>
        <v>2</v>
      </c>
      <c r="N65" s="1">
        <f t="shared" si="5"/>
        <v>4</v>
      </c>
      <c r="O65" s="1">
        <f t="shared" si="2"/>
        <v>4</v>
      </c>
    </row>
    <row r="66" spans="2:15" x14ac:dyDescent="0.25">
      <c r="B66" t="s">
        <v>864</v>
      </c>
      <c r="D66" s="1" t="s">
        <v>145</v>
      </c>
      <c r="E66" s="1"/>
      <c r="F66" s="1">
        <v>2</v>
      </c>
      <c r="H66" s="1">
        <v>2</v>
      </c>
      <c r="I66" s="1">
        <f t="shared" si="0"/>
        <v>4</v>
      </c>
      <c r="K66" s="1">
        <v>2</v>
      </c>
      <c r="L66" s="1">
        <f t="shared" si="1"/>
        <v>4</v>
      </c>
      <c r="N66" s="1">
        <f t="shared" si="5"/>
        <v>4</v>
      </c>
      <c r="O66" s="1">
        <f t="shared" si="2"/>
        <v>8</v>
      </c>
    </row>
    <row r="67" spans="2:15" x14ac:dyDescent="0.25">
      <c r="D67" s="1"/>
      <c r="E67" s="1"/>
      <c r="F67" s="1"/>
      <c r="H67" s="1"/>
      <c r="I67" s="1"/>
      <c r="K67" s="1"/>
      <c r="L67" s="1"/>
      <c r="N67" s="1"/>
      <c r="O67" s="1"/>
    </row>
    <row r="68" spans="2:15" x14ac:dyDescent="0.25">
      <c r="D68" s="1"/>
      <c r="E68" s="1"/>
      <c r="F68" s="1"/>
      <c r="H68" s="1"/>
      <c r="I68" s="1"/>
      <c r="K68" s="1"/>
      <c r="L68" s="1"/>
      <c r="N68" s="1"/>
      <c r="O68" s="1"/>
    </row>
    <row r="69" spans="2:15" x14ac:dyDescent="0.25">
      <c r="D69" s="7" t="s">
        <v>151</v>
      </c>
      <c r="E69" s="1"/>
      <c r="F69" s="1"/>
      <c r="H69" s="1"/>
      <c r="I69" s="1"/>
      <c r="K69" s="1"/>
      <c r="L69" s="1"/>
      <c r="N69" s="1"/>
      <c r="O69" s="1"/>
    </row>
    <row r="70" spans="2:15" x14ac:dyDescent="0.25">
      <c r="B70" t="s">
        <v>865</v>
      </c>
      <c r="D70" s="1" t="s">
        <v>271</v>
      </c>
      <c r="E70" s="1"/>
      <c r="F70" s="1"/>
      <c r="H70" s="1"/>
      <c r="I70" s="1"/>
      <c r="K70" s="1"/>
      <c r="L70" s="1">
        <v>5</v>
      </c>
      <c r="N70" s="1"/>
      <c r="O70" s="1">
        <v>25</v>
      </c>
    </row>
    <row r="71" spans="2:15" x14ac:dyDescent="0.25">
      <c r="B71" t="s">
        <v>866</v>
      </c>
      <c r="D71" s="1" t="s">
        <v>173</v>
      </c>
      <c r="E71" s="1"/>
      <c r="F71" s="1"/>
      <c r="H71" s="1"/>
      <c r="I71" s="1"/>
      <c r="K71" s="1"/>
      <c r="L71" s="1">
        <v>31</v>
      </c>
      <c r="N71" s="1"/>
      <c r="O71" s="1">
        <v>57</v>
      </c>
    </row>
    <row r="72" spans="2:15" x14ac:dyDescent="0.25">
      <c r="D72" s="1"/>
      <c r="E72" s="1"/>
      <c r="F72" s="1"/>
      <c r="H72" s="1"/>
      <c r="I72" s="1"/>
      <c r="K72" s="1"/>
      <c r="L72" s="1"/>
      <c r="N72" s="1"/>
      <c r="O72" s="1"/>
    </row>
    <row r="73" spans="2:15" x14ac:dyDescent="0.25">
      <c r="D73" s="1"/>
      <c r="E73" s="1"/>
      <c r="F73" s="1"/>
      <c r="H73" s="1"/>
      <c r="I73" s="1"/>
      <c r="K73" s="1"/>
      <c r="L73" s="1"/>
      <c r="N73" s="1"/>
      <c r="O73" s="1"/>
    </row>
    <row r="74" spans="2:15" x14ac:dyDescent="0.25">
      <c r="D74" s="1"/>
      <c r="E74" s="1"/>
      <c r="F74" s="1"/>
      <c r="H74" s="1"/>
      <c r="I74" s="1"/>
      <c r="K74" s="1"/>
      <c r="L74" s="1"/>
      <c r="N74" s="1"/>
      <c r="O74" s="1"/>
    </row>
    <row r="75" spans="2:15" s="14" customFormat="1" x14ac:dyDescent="0.25">
      <c r="D75" s="7" t="s">
        <v>59</v>
      </c>
      <c r="E75" s="7"/>
      <c r="F75" s="7"/>
      <c r="H75" s="7"/>
      <c r="I75" s="7">
        <f>SUM(I8:I74)</f>
        <v>215</v>
      </c>
      <c r="K75" s="7"/>
      <c r="L75" s="7">
        <f>SUM(L8:L74)</f>
        <v>341</v>
      </c>
      <c r="N75" s="7"/>
      <c r="O75" s="7">
        <f>SUM(O8:O74)</f>
        <v>642.5</v>
      </c>
    </row>
  </sheetData>
  <mergeCells count="3">
    <mergeCell ref="H5:I5"/>
    <mergeCell ref="K5:L5"/>
    <mergeCell ref="N5:O5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F04F-BB30-49D6-808D-41AF8643EABD}">
  <dimension ref="A1:R32"/>
  <sheetViews>
    <sheetView topLeftCell="A15" workbookViewId="0">
      <selection activeCell="D6" sqref="D6"/>
    </sheetView>
  </sheetViews>
  <sheetFormatPr defaultRowHeight="15" x14ac:dyDescent="0.25"/>
  <cols>
    <col min="1" max="1" width="16.7109375" customWidth="1"/>
    <col min="2" max="2" width="11.7109375" customWidth="1"/>
    <col min="3" max="3" width="15.7109375" customWidth="1"/>
    <col min="4" max="4" width="39.140625" customWidth="1"/>
    <col min="5" max="5" width="28.140625" bestFit="1" customWidth="1"/>
  </cols>
  <sheetData>
    <row r="1" spans="1:18" x14ac:dyDescent="0.25">
      <c r="A1" s="14" t="s">
        <v>198</v>
      </c>
      <c r="B1" s="14"/>
      <c r="C1" s="14"/>
      <c r="D1" s="14" t="s">
        <v>709</v>
      </c>
    </row>
    <row r="2" spans="1:18" x14ac:dyDescent="0.25">
      <c r="A2" s="14" t="s">
        <v>195</v>
      </c>
      <c r="B2" s="14"/>
      <c r="C2" s="14"/>
      <c r="D2" s="14" t="s">
        <v>710</v>
      </c>
    </row>
    <row r="4" spans="1:18" s="14" customFormat="1" ht="15.75" thickBot="1" x14ac:dyDescent="0.3">
      <c r="A4" s="7" t="s">
        <v>895</v>
      </c>
      <c r="E4" s="28"/>
      <c r="G4" s="29"/>
      <c r="I4" s="64"/>
      <c r="J4" s="64"/>
      <c r="L4" s="64"/>
      <c r="M4" s="64"/>
      <c r="O4" s="64"/>
      <c r="P4" s="64"/>
      <c r="R4" s="32"/>
    </row>
    <row r="5" spans="1:18" s="14" customFormat="1" ht="15.75" thickBot="1" x14ac:dyDescent="0.3">
      <c r="A5" s="7"/>
      <c r="D5" s="28"/>
      <c r="E5" s="14" t="s">
        <v>159</v>
      </c>
      <c r="F5" s="29">
        <v>0.4</v>
      </c>
      <c r="H5" s="58" t="s">
        <v>0</v>
      </c>
      <c r="I5" s="59"/>
      <c r="K5" s="58" t="s">
        <v>1</v>
      </c>
      <c r="L5" s="59"/>
      <c r="N5" s="62" t="s">
        <v>20</v>
      </c>
      <c r="O5" s="63"/>
      <c r="Q5" s="60" t="s">
        <v>738</v>
      </c>
      <c r="R5" s="61"/>
    </row>
    <row r="6" spans="1:18" s="14" customFormat="1" x14ac:dyDescent="0.25">
      <c r="B6" s="7" t="s">
        <v>331</v>
      </c>
      <c r="C6" s="7" t="s">
        <v>763</v>
      </c>
      <c r="D6" s="7" t="s">
        <v>158</v>
      </c>
      <c r="E6" s="7" t="s">
        <v>153</v>
      </c>
      <c r="F6" s="7" t="s">
        <v>3</v>
      </c>
      <c r="H6" s="15" t="s">
        <v>4</v>
      </c>
      <c r="I6" s="15" t="s">
        <v>5</v>
      </c>
      <c r="K6" s="15" t="s">
        <v>4</v>
      </c>
      <c r="L6" s="15" t="s">
        <v>5</v>
      </c>
      <c r="N6" s="15" t="s">
        <v>4</v>
      </c>
      <c r="O6" s="16" t="s">
        <v>5</v>
      </c>
      <c r="Q6" s="7" t="s">
        <v>4</v>
      </c>
      <c r="R6" s="7" t="s">
        <v>5</v>
      </c>
    </row>
    <row r="7" spans="1:18" x14ac:dyDescent="0.25">
      <c r="B7" s="1"/>
      <c r="C7" s="1"/>
      <c r="D7" s="1"/>
      <c r="E7" s="1"/>
      <c r="F7" s="1"/>
      <c r="H7" s="1"/>
      <c r="I7" s="1"/>
      <c r="K7" s="1"/>
      <c r="L7" s="1"/>
      <c r="N7" s="1"/>
      <c r="O7" s="1"/>
      <c r="Q7" s="1"/>
      <c r="R7" s="1"/>
    </row>
    <row r="8" spans="1:18" x14ac:dyDescent="0.25">
      <c r="B8" s="1" t="s">
        <v>873</v>
      </c>
      <c r="C8" s="1"/>
      <c r="D8" s="1" t="s">
        <v>719</v>
      </c>
      <c r="E8" s="1" t="s">
        <v>720</v>
      </c>
      <c r="F8" s="1">
        <v>50</v>
      </c>
      <c r="H8" s="1">
        <v>0</v>
      </c>
      <c r="I8" s="1">
        <f t="shared" ref="I8:I24" si="0">H8*F8</f>
        <v>0</v>
      </c>
      <c r="K8" s="1">
        <v>0</v>
      </c>
      <c r="L8" s="1">
        <f t="shared" ref="L8:L24" si="1">K8*F8</f>
        <v>0</v>
      </c>
      <c r="N8" s="1">
        <v>0</v>
      </c>
      <c r="O8" s="1">
        <f t="shared" ref="O8:O24" si="2">N8*F8</f>
        <v>0</v>
      </c>
      <c r="Q8" s="1">
        <v>1</v>
      </c>
      <c r="R8" s="1">
        <f t="shared" ref="R8:R24" si="3">Q8*F8</f>
        <v>50</v>
      </c>
    </row>
    <row r="9" spans="1:18" x14ac:dyDescent="0.25">
      <c r="B9" s="1" t="s">
        <v>874</v>
      </c>
      <c r="C9" s="1"/>
      <c r="D9" s="1" t="s">
        <v>721</v>
      </c>
      <c r="E9" s="1" t="s">
        <v>722</v>
      </c>
      <c r="F9" s="1">
        <v>120</v>
      </c>
      <c r="H9" s="1">
        <v>0</v>
      </c>
      <c r="I9" s="1">
        <f t="shared" si="0"/>
        <v>0</v>
      </c>
      <c r="K9" s="1">
        <v>1</v>
      </c>
      <c r="L9" s="1">
        <f t="shared" si="1"/>
        <v>120</v>
      </c>
      <c r="N9" s="1">
        <v>0</v>
      </c>
      <c r="O9" s="1">
        <f t="shared" si="2"/>
        <v>0</v>
      </c>
      <c r="Q9" s="1">
        <v>1</v>
      </c>
      <c r="R9" s="1">
        <f t="shared" si="3"/>
        <v>120</v>
      </c>
    </row>
    <row r="10" spans="1:18" x14ac:dyDescent="0.25">
      <c r="B10" s="1" t="s">
        <v>875</v>
      </c>
      <c r="C10" s="1"/>
      <c r="D10" s="1" t="s">
        <v>754</v>
      </c>
      <c r="E10" s="1"/>
      <c r="F10" s="1">
        <v>60</v>
      </c>
      <c r="H10" s="1">
        <v>0</v>
      </c>
      <c r="I10" s="1">
        <f t="shared" si="0"/>
        <v>0</v>
      </c>
      <c r="K10" s="1">
        <v>1</v>
      </c>
      <c r="L10" s="1">
        <f t="shared" si="1"/>
        <v>60</v>
      </c>
      <c r="N10" s="1">
        <v>0</v>
      </c>
      <c r="O10" s="1">
        <f t="shared" si="2"/>
        <v>0</v>
      </c>
      <c r="Q10" s="1">
        <v>1</v>
      </c>
      <c r="R10" s="1">
        <f t="shared" si="3"/>
        <v>60</v>
      </c>
    </row>
    <row r="11" spans="1:18" x14ac:dyDescent="0.25">
      <c r="B11" s="1" t="s">
        <v>876</v>
      </c>
      <c r="C11" s="1"/>
      <c r="D11" s="1" t="s">
        <v>752</v>
      </c>
      <c r="E11" s="1" t="s">
        <v>724</v>
      </c>
      <c r="F11" s="1">
        <v>45</v>
      </c>
      <c r="H11" s="1">
        <v>1</v>
      </c>
      <c r="I11" s="1">
        <f t="shared" si="0"/>
        <v>45</v>
      </c>
      <c r="K11" s="1">
        <v>1</v>
      </c>
      <c r="L11" s="1">
        <f t="shared" si="1"/>
        <v>45</v>
      </c>
      <c r="N11" s="1">
        <v>0</v>
      </c>
      <c r="O11" s="1">
        <f t="shared" si="2"/>
        <v>0</v>
      </c>
      <c r="Q11" s="1">
        <v>1</v>
      </c>
      <c r="R11" s="1">
        <f t="shared" si="3"/>
        <v>45</v>
      </c>
    </row>
    <row r="12" spans="1:18" x14ac:dyDescent="0.25">
      <c r="B12" s="1" t="s">
        <v>877</v>
      </c>
      <c r="C12" s="1"/>
      <c r="D12" s="1" t="s">
        <v>753</v>
      </c>
      <c r="E12" s="1"/>
      <c r="F12" s="1">
        <v>50</v>
      </c>
      <c r="H12" s="1">
        <v>1</v>
      </c>
      <c r="I12" s="1">
        <f t="shared" si="0"/>
        <v>50</v>
      </c>
      <c r="K12" s="1">
        <v>1</v>
      </c>
      <c r="L12" s="1">
        <f t="shared" si="1"/>
        <v>50</v>
      </c>
      <c r="N12" s="1">
        <v>0</v>
      </c>
      <c r="O12" s="1">
        <f t="shared" si="2"/>
        <v>0</v>
      </c>
      <c r="Q12" s="1">
        <v>1</v>
      </c>
      <c r="R12" s="1">
        <f t="shared" si="3"/>
        <v>50</v>
      </c>
    </row>
    <row r="13" spans="1:18" x14ac:dyDescent="0.25">
      <c r="B13" s="1" t="s">
        <v>878</v>
      </c>
      <c r="C13" s="31"/>
      <c r="D13" s="1" t="s">
        <v>723</v>
      </c>
      <c r="E13" s="1" t="s">
        <v>724</v>
      </c>
      <c r="F13" s="1">
        <v>70</v>
      </c>
      <c r="H13" s="1">
        <v>0</v>
      </c>
      <c r="I13" s="1">
        <f t="shared" si="0"/>
        <v>0</v>
      </c>
      <c r="K13" s="1">
        <v>0</v>
      </c>
      <c r="L13" s="1">
        <f t="shared" si="1"/>
        <v>0</v>
      </c>
      <c r="N13" s="1">
        <v>0</v>
      </c>
      <c r="O13" s="1">
        <f t="shared" si="2"/>
        <v>0</v>
      </c>
      <c r="Q13" s="1">
        <v>0</v>
      </c>
      <c r="R13" s="1">
        <f t="shared" si="3"/>
        <v>0</v>
      </c>
    </row>
    <row r="14" spans="1:18" x14ac:dyDescent="0.25">
      <c r="B14" s="1" t="s">
        <v>879</v>
      </c>
      <c r="C14" s="31"/>
      <c r="D14" s="1" t="s">
        <v>723</v>
      </c>
      <c r="E14" s="1" t="s">
        <v>725</v>
      </c>
      <c r="F14" s="1">
        <v>95</v>
      </c>
      <c r="H14" s="1">
        <v>0</v>
      </c>
      <c r="I14" s="1">
        <f t="shared" si="0"/>
        <v>0</v>
      </c>
      <c r="K14" s="1">
        <v>0</v>
      </c>
      <c r="L14" s="1">
        <f t="shared" si="1"/>
        <v>0</v>
      </c>
      <c r="N14" s="1">
        <v>0</v>
      </c>
      <c r="O14" s="1">
        <f t="shared" si="2"/>
        <v>0</v>
      </c>
      <c r="Q14" s="1">
        <v>1</v>
      </c>
      <c r="R14" s="1">
        <f t="shared" si="3"/>
        <v>95</v>
      </c>
    </row>
    <row r="15" spans="1:18" x14ac:dyDescent="0.25">
      <c r="B15" s="1" t="s">
        <v>880</v>
      </c>
      <c r="C15" s="31"/>
      <c r="D15" s="1" t="s">
        <v>723</v>
      </c>
      <c r="E15" s="1" t="s">
        <v>726</v>
      </c>
      <c r="F15" s="1">
        <v>130</v>
      </c>
      <c r="H15" s="1">
        <v>0</v>
      </c>
      <c r="I15" s="1">
        <f t="shared" si="0"/>
        <v>0</v>
      </c>
      <c r="K15" s="1">
        <v>0</v>
      </c>
      <c r="L15" s="1">
        <f t="shared" si="1"/>
        <v>0</v>
      </c>
      <c r="N15" s="1">
        <v>0</v>
      </c>
      <c r="O15" s="1">
        <f t="shared" si="2"/>
        <v>0</v>
      </c>
      <c r="Q15" s="1">
        <v>1</v>
      </c>
      <c r="R15" s="1">
        <f t="shared" si="3"/>
        <v>130</v>
      </c>
    </row>
    <row r="16" spans="1:18" x14ac:dyDescent="0.25">
      <c r="B16" s="1" t="s">
        <v>881</v>
      </c>
      <c r="C16" s="31"/>
      <c r="D16" s="1" t="s">
        <v>727</v>
      </c>
      <c r="E16" s="1"/>
      <c r="F16" s="1">
        <v>100</v>
      </c>
      <c r="H16" s="1">
        <v>0</v>
      </c>
      <c r="I16" s="1">
        <f t="shared" si="0"/>
        <v>0</v>
      </c>
      <c r="K16" s="1">
        <v>0</v>
      </c>
      <c r="L16" s="1">
        <f t="shared" si="1"/>
        <v>0</v>
      </c>
      <c r="N16" s="1">
        <v>0</v>
      </c>
      <c r="O16" s="1">
        <f t="shared" si="2"/>
        <v>0</v>
      </c>
      <c r="Q16" s="1">
        <v>1</v>
      </c>
      <c r="R16" s="1">
        <f t="shared" si="3"/>
        <v>100</v>
      </c>
    </row>
    <row r="17" spans="2:18" x14ac:dyDescent="0.25">
      <c r="B17" s="1" t="s">
        <v>882</v>
      </c>
      <c r="C17" s="31"/>
      <c r="D17" s="1" t="s">
        <v>728</v>
      </c>
      <c r="E17" s="1" t="s">
        <v>729</v>
      </c>
      <c r="F17" s="1">
        <v>500</v>
      </c>
      <c r="H17" s="1">
        <v>0</v>
      </c>
      <c r="I17" s="1">
        <v>0</v>
      </c>
      <c r="K17" s="1">
        <v>0</v>
      </c>
      <c r="L17" s="1">
        <f t="shared" si="1"/>
        <v>0</v>
      </c>
      <c r="N17" s="1">
        <v>1</v>
      </c>
      <c r="O17" s="1">
        <f t="shared" si="2"/>
        <v>500</v>
      </c>
      <c r="Q17" s="1">
        <v>1</v>
      </c>
      <c r="R17" s="1">
        <f t="shared" si="3"/>
        <v>500</v>
      </c>
    </row>
    <row r="18" spans="2:18" x14ac:dyDescent="0.25">
      <c r="B18" s="1" t="s">
        <v>883</v>
      </c>
      <c r="C18" s="31"/>
      <c r="D18" s="1" t="s">
        <v>756</v>
      </c>
      <c r="E18" s="1"/>
      <c r="F18" s="1">
        <v>30</v>
      </c>
      <c r="H18" s="1">
        <v>0</v>
      </c>
      <c r="I18" s="1">
        <v>0</v>
      </c>
      <c r="K18" s="1">
        <v>0</v>
      </c>
      <c r="L18" s="1">
        <f t="shared" si="1"/>
        <v>0</v>
      </c>
      <c r="N18" s="1">
        <v>0</v>
      </c>
      <c r="O18" s="1">
        <f t="shared" si="2"/>
        <v>0</v>
      </c>
      <c r="Q18" s="1">
        <v>0</v>
      </c>
      <c r="R18" s="1">
        <f t="shared" si="3"/>
        <v>0</v>
      </c>
    </row>
    <row r="19" spans="2:18" x14ac:dyDescent="0.25">
      <c r="B19" s="1" t="s">
        <v>884</v>
      </c>
      <c r="C19" s="31"/>
      <c r="D19" s="1" t="s">
        <v>732</v>
      </c>
      <c r="E19" s="1"/>
      <c r="F19" s="1">
        <v>120</v>
      </c>
      <c r="H19" s="1">
        <v>0</v>
      </c>
      <c r="I19" s="1">
        <v>0</v>
      </c>
      <c r="K19" s="1">
        <v>0</v>
      </c>
      <c r="L19" s="1">
        <f t="shared" si="1"/>
        <v>0</v>
      </c>
      <c r="N19" s="1">
        <v>1</v>
      </c>
      <c r="O19" s="1">
        <f t="shared" si="2"/>
        <v>120</v>
      </c>
      <c r="Q19" s="1">
        <v>1</v>
      </c>
      <c r="R19" s="1">
        <f t="shared" si="3"/>
        <v>120</v>
      </c>
    </row>
    <row r="20" spans="2:18" x14ac:dyDescent="0.25">
      <c r="B20" s="1" t="s">
        <v>885</v>
      </c>
      <c r="C20" s="31"/>
      <c r="D20" s="1" t="s">
        <v>735</v>
      </c>
      <c r="E20" s="1" t="s">
        <v>736</v>
      </c>
      <c r="F20" s="1">
        <v>150</v>
      </c>
      <c r="H20" s="1">
        <v>0</v>
      </c>
      <c r="I20" s="1">
        <f t="shared" si="0"/>
        <v>0</v>
      </c>
      <c r="K20" s="1">
        <v>0</v>
      </c>
      <c r="L20" s="1">
        <f t="shared" si="1"/>
        <v>0</v>
      </c>
      <c r="N20" s="1">
        <v>0</v>
      </c>
      <c r="O20" s="1">
        <f t="shared" si="2"/>
        <v>0</v>
      </c>
      <c r="Q20" s="1">
        <v>1</v>
      </c>
      <c r="R20" s="1">
        <f t="shared" si="3"/>
        <v>150</v>
      </c>
    </row>
    <row r="21" spans="2:18" x14ac:dyDescent="0.25">
      <c r="B21" s="1" t="s">
        <v>886</v>
      </c>
      <c r="C21" s="31"/>
      <c r="D21" s="1" t="s">
        <v>735</v>
      </c>
      <c r="E21" s="1" t="s">
        <v>755</v>
      </c>
      <c r="F21" s="1">
        <v>75</v>
      </c>
      <c r="H21" s="1">
        <v>1</v>
      </c>
      <c r="I21" s="1">
        <f t="shared" si="0"/>
        <v>75</v>
      </c>
      <c r="K21" s="1">
        <v>1</v>
      </c>
      <c r="L21" s="1">
        <f t="shared" si="1"/>
        <v>75</v>
      </c>
      <c r="N21" s="1">
        <v>0</v>
      </c>
      <c r="O21" s="1">
        <f t="shared" si="2"/>
        <v>0</v>
      </c>
      <c r="Q21" s="1">
        <v>0</v>
      </c>
      <c r="R21" s="1">
        <f t="shared" si="3"/>
        <v>0</v>
      </c>
    </row>
    <row r="22" spans="2:18" x14ac:dyDescent="0.25">
      <c r="B22" s="1" t="s">
        <v>887</v>
      </c>
      <c r="C22" s="31"/>
      <c r="D22" s="1" t="s">
        <v>737</v>
      </c>
      <c r="E22" s="1" t="s">
        <v>737</v>
      </c>
      <c r="F22" s="1">
        <v>250</v>
      </c>
      <c r="H22" s="1">
        <v>0</v>
      </c>
      <c r="I22" s="1">
        <f t="shared" si="0"/>
        <v>0</v>
      </c>
      <c r="K22" s="1">
        <v>0</v>
      </c>
      <c r="L22" s="1">
        <f t="shared" si="1"/>
        <v>0</v>
      </c>
      <c r="N22" s="1">
        <v>0</v>
      </c>
      <c r="O22" s="1">
        <f t="shared" si="2"/>
        <v>0</v>
      </c>
      <c r="Q22" s="1">
        <v>0</v>
      </c>
      <c r="R22" s="1">
        <f t="shared" si="3"/>
        <v>0</v>
      </c>
    </row>
    <row r="23" spans="2:18" x14ac:dyDescent="0.25">
      <c r="B23" s="1" t="s">
        <v>888</v>
      </c>
      <c r="C23" s="1"/>
      <c r="D23" s="1" t="s">
        <v>757</v>
      </c>
      <c r="E23" s="1"/>
      <c r="F23" s="1">
        <v>120</v>
      </c>
      <c r="H23" s="1">
        <v>0</v>
      </c>
      <c r="I23" s="1">
        <f t="shared" si="0"/>
        <v>0</v>
      </c>
      <c r="K23" s="1">
        <v>0</v>
      </c>
      <c r="L23" s="1">
        <f t="shared" si="1"/>
        <v>0</v>
      </c>
      <c r="N23" s="1">
        <v>0</v>
      </c>
      <c r="O23" s="1">
        <f t="shared" si="2"/>
        <v>0</v>
      </c>
      <c r="Q23" s="1">
        <v>1</v>
      </c>
      <c r="R23" s="1">
        <f t="shared" si="3"/>
        <v>120</v>
      </c>
    </row>
    <row r="24" spans="2:18" x14ac:dyDescent="0.25">
      <c r="B24" s="1" t="s">
        <v>889</v>
      </c>
      <c r="C24" s="1"/>
      <c r="D24" s="1" t="s">
        <v>758</v>
      </c>
      <c r="E24" s="1"/>
      <c r="F24" s="1">
        <v>10</v>
      </c>
      <c r="H24" s="1">
        <v>0</v>
      </c>
      <c r="I24" s="1">
        <f t="shared" si="0"/>
        <v>0</v>
      </c>
      <c r="K24" s="1">
        <v>0</v>
      </c>
      <c r="L24" s="1">
        <f t="shared" si="1"/>
        <v>0</v>
      </c>
      <c r="N24" s="1">
        <v>0</v>
      </c>
      <c r="O24" s="1">
        <f t="shared" si="2"/>
        <v>0</v>
      </c>
      <c r="Q24" s="1">
        <v>1</v>
      </c>
      <c r="R24" s="1">
        <f t="shared" si="3"/>
        <v>10</v>
      </c>
    </row>
    <row r="25" spans="2:18" x14ac:dyDescent="0.25">
      <c r="B25" s="1"/>
      <c r="C25" s="1"/>
      <c r="D25" s="1"/>
      <c r="E25" s="1"/>
      <c r="F25" s="1"/>
      <c r="H25" s="1"/>
      <c r="I25" s="1"/>
      <c r="K25" s="1"/>
      <c r="L25" s="1"/>
      <c r="N25" s="1"/>
      <c r="O25" s="1"/>
      <c r="Q25" s="1"/>
      <c r="R25" s="1"/>
    </row>
    <row r="26" spans="2:18" x14ac:dyDescent="0.25">
      <c r="B26" s="31"/>
      <c r="C26" s="31"/>
      <c r="D26" s="1"/>
      <c r="E26" s="1"/>
      <c r="F26" s="1"/>
      <c r="H26" s="1"/>
      <c r="I26" s="1"/>
      <c r="K26" s="1"/>
      <c r="L26" s="1"/>
      <c r="N26" s="1"/>
      <c r="O26" s="1"/>
      <c r="Q26" s="1"/>
      <c r="R26" s="1"/>
    </row>
    <row r="27" spans="2:18" x14ac:dyDescent="0.25">
      <c r="B27" s="31"/>
      <c r="C27" s="31"/>
      <c r="D27" s="7" t="s">
        <v>151</v>
      </c>
      <c r="E27" s="1"/>
      <c r="F27" s="1"/>
      <c r="H27" s="1"/>
      <c r="I27" s="1"/>
      <c r="K27" s="1"/>
      <c r="L27" s="1"/>
      <c r="N27" s="1"/>
      <c r="O27" s="1"/>
      <c r="Q27" s="1"/>
      <c r="R27" s="1"/>
    </row>
    <row r="28" spans="2:18" s="14" customFormat="1" x14ac:dyDescent="0.25">
      <c r="B28" s="40" t="s">
        <v>890</v>
      </c>
      <c r="C28" s="40"/>
      <c r="D28" s="1" t="s">
        <v>271</v>
      </c>
      <c r="E28" s="1"/>
      <c r="F28" s="1"/>
      <c r="G28"/>
      <c r="H28" s="1"/>
      <c r="I28" s="1">
        <v>5</v>
      </c>
      <c r="J28"/>
      <c r="K28" s="1"/>
      <c r="L28" s="1">
        <v>5</v>
      </c>
      <c r="M28"/>
      <c r="N28" s="1"/>
      <c r="O28" s="1">
        <v>5</v>
      </c>
      <c r="P28"/>
      <c r="Q28" s="1"/>
      <c r="R28" s="1">
        <v>5</v>
      </c>
    </row>
    <row r="29" spans="2:18" x14ac:dyDescent="0.25">
      <c r="B29" s="31" t="s">
        <v>891</v>
      </c>
      <c r="C29" s="1"/>
      <c r="D29" s="1" t="s">
        <v>173</v>
      </c>
      <c r="E29" s="7"/>
      <c r="F29" s="7"/>
      <c r="G29" s="14"/>
      <c r="H29" s="7"/>
      <c r="I29" s="1">
        <v>17</v>
      </c>
      <c r="J29" s="14"/>
      <c r="K29" s="7"/>
      <c r="L29" s="1">
        <v>35</v>
      </c>
      <c r="M29" s="14"/>
      <c r="N29" s="7"/>
      <c r="O29" s="7">
        <v>62</v>
      </c>
      <c r="P29" s="14"/>
      <c r="Q29" s="7"/>
      <c r="R29" s="1">
        <v>155</v>
      </c>
    </row>
    <row r="30" spans="2:18" x14ac:dyDescent="0.25">
      <c r="B30" s="1"/>
      <c r="C30" s="1"/>
      <c r="D30" s="1"/>
      <c r="E30" s="1"/>
      <c r="F30" s="1"/>
      <c r="H30" s="1"/>
      <c r="I30" s="1"/>
      <c r="K30" s="1"/>
      <c r="L30" s="1"/>
      <c r="N30" s="1"/>
      <c r="O30" s="1"/>
      <c r="Q30" s="1"/>
      <c r="R30" s="1"/>
    </row>
    <row r="31" spans="2:18" x14ac:dyDescent="0.25">
      <c r="B31" s="1"/>
      <c r="C31" s="1"/>
      <c r="D31" s="1"/>
      <c r="E31" s="1"/>
      <c r="F31" s="1"/>
      <c r="H31" s="1"/>
      <c r="I31" s="1"/>
      <c r="K31" s="1"/>
      <c r="L31" s="1"/>
      <c r="N31" s="1"/>
      <c r="O31" s="1"/>
      <c r="Q31" s="1"/>
      <c r="R31" s="1"/>
    </row>
    <row r="32" spans="2:18" s="14" customFormat="1" x14ac:dyDescent="0.25">
      <c r="B32" s="7"/>
      <c r="C32" s="7"/>
      <c r="D32" s="7" t="s">
        <v>59</v>
      </c>
      <c r="E32" s="7"/>
      <c r="F32" s="7"/>
      <c r="H32" s="7"/>
      <c r="I32" s="7">
        <f>SUM(I8:I31)</f>
        <v>192</v>
      </c>
      <c r="K32" s="7"/>
      <c r="L32" s="7">
        <f>SUM(L8:L31)</f>
        <v>390</v>
      </c>
      <c r="N32" s="7"/>
      <c r="O32" s="7">
        <f>SUM(O8:O31)</f>
        <v>687</v>
      </c>
      <c r="Q32" s="7"/>
      <c r="R32" s="7">
        <f>SUM(R8:R31)</f>
        <v>1710</v>
      </c>
    </row>
  </sheetData>
  <mergeCells count="7">
    <mergeCell ref="Q5:R5"/>
    <mergeCell ref="I4:J4"/>
    <mergeCell ref="L4:M4"/>
    <mergeCell ref="O4:P4"/>
    <mergeCell ref="H5:I5"/>
    <mergeCell ref="K5:L5"/>
    <mergeCell ref="N5:O5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3300-3982-4BB6-9FF7-F7B42CA15A3B}">
  <dimension ref="A1:R33"/>
  <sheetViews>
    <sheetView topLeftCell="A4" workbookViewId="0">
      <selection activeCell="D11" sqref="D11"/>
    </sheetView>
  </sheetViews>
  <sheetFormatPr defaultRowHeight="15" x14ac:dyDescent="0.25"/>
  <cols>
    <col min="1" max="1" width="18.7109375" customWidth="1"/>
    <col min="2" max="2" width="15.42578125" customWidth="1"/>
    <col min="3" max="3" width="15.7109375" customWidth="1"/>
    <col min="4" max="4" width="25.5703125" customWidth="1"/>
    <col min="5" max="5" width="21.7109375" customWidth="1"/>
    <col min="6" max="6" width="10.85546875" customWidth="1"/>
  </cols>
  <sheetData>
    <row r="1" spans="1:18" x14ac:dyDescent="0.25">
      <c r="A1" s="14" t="s">
        <v>198</v>
      </c>
      <c r="B1" s="14"/>
      <c r="C1" s="14"/>
      <c r="D1" s="14" t="s">
        <v>896</v>
      </c>
    </row>
    <row r="2" spans="1:18" x14ac:dyDescent="0.25">
      <c r="A2" s="14" t="s">
        <v>195</v>
      </c>
      <c r="B2" s="14"/>
      <c r="C2" s="14"/>
      <c r="D2" s="14" t="s">
        <v>897</v>
      </c>
    </row>
    <row r="3" spans="1:18" x14ac:dyDescent="0.25">
      <c r="A3" s="14"/>
      <c r="B3" s="14"/>
      <c r="C3" s="14"/>
      <c r="D3" s="14"/>
    </row>
    <row r="5" spans="1:18" s="14" customFormat="1" ht="15.75" thickBot="1" x14ac:dyDescent="0.3">
      <c r="A5" s="7" t="s">
        <v>895</v>
      </c>
      <c r="E5" s="28"/>
      <c r="G5" s="29"/>
      <c r="I5" s="64"/>
      <c r="J5" s="64"/>
      <c r="L5" s="64"/>
      <c r="M5" s="64"/>
      <c r="O5" s="64"/>
      <c r="P5" s="64"/>
      <c r="R5" s="32"/>
    </row>
    <row r="6" spans="1:18" s="14" customFormat="1" ht="15.75" thickBot="1" x14ac:dyDescent="0.3">
      <c r="A6" s="7"/>
      <c r="D6" s="28"/>
      <c r="E6" s="14" t="s">
        <v>159</v>
      </c>
      <c r="F6" s="29">
        <v>0.4</v>
      </c>
      <c r="H6" s="58" t="s">
        <v>0</v>
      </c>
      <c r="I6" s="59"/>
      <c r="K6" s="58" t="s">
        <v>1</v>
      </c>
      <c r="L6" s="59"/>
      <c r="N6" s="62" t="s">
        <v>20</v>
      </c>
      <c r="O6" s="63"/>
      <c r="Q6" s="60" t="s">
        <v>738</v>
      </c>
      <c r="R6" s="61"/>
    </row>
    <row r="7" spans="1:18" s="14" customFormat="1" x14ac:dyDescent="0.25">
      <c r="B7" s="7" t="s">
        <v>331</v>
      </c>
      <c r="C7" s="7" t="s">
        <v>763</v>
      </c>
      <c r="D7" s="7" t="s">
        <v>158</v>
      </c>
      <c r="E7" s="7" t="s">
        <v>153</v>
      </c>
      <c r="F7" s="7" t="s">
        <v>3</v>
      </c>
      <c r="H7" s="15" t="s">
        <v>4</v>
      </c>
      <c r="I7" s="15" t="s">
        <v>5</v>
      </c>
      <c r="K7" s="15" t="s">
        <v>4</v>
      </c>
      <c r="L7" s="15" t="s">
        <v>5</v>
      </c>
      <c r="N7" s="15" t="s">
        <v>4</v>
      </c>
      <c r="O7" s="16" t="s">
        <v>5</v>
      </c>
      <c r="Q7" s="7" t="s">
        <v>4</v>
      </c>
      <c r="R7" s="7" t="s">
        <v>5</v>
      </c>
    </row>
    <row r="8" spans="1:18" x14ac:dyDescent="0.25">
      <c r="B8" s="1"/>
      <c r="C8" s="1"/>
      <c r="D8" s="1"/>
      <c r="E8" s="1"/>
      <c r="F8" s="1"/>
      <c r="H8" s="1"/>
      <c r="I8" s="1"/>
      <c r="K8" s="1"/>
      <c r="L8" s="1"/>
      <c r="N8" s="1"/>
      <c r="O8" s="1"/>
      <c r="Q8" s="1"/>
      <c r="R8" s="1"/>
    </row>
    <row r="9" spans="1:18" x14ac:dyDescent="0.25">
      <c r="B9" s="1"/>
      <c r="C9" s="1"/>
      <c r="D9" s="1" t="s">
        <v>898</v>
      </c>
      <c r="E9" s="1"/>
      <c r="F9" s="1"/>
      <c r="H9" s="1">
        <v>0</v>
      </c>
      <c r="I9" s="1">
        <f t="shared" ref="I9:I25" si="0">H9*F9</f>
        <v>0</v>
      </c>
      <c r="K9" s="1">
        <v>0</v>
      </c>
      <c r="L9" s="1">
        <f t="shared" ref="L9:L25" si="1">K9*F9</f>
        <v>0</v>
      </c>
      <c r="N9" s="1">
        <v>0</v>
      </c>
      <c r="O9" s="1">
        <f t="shared" ref="O9:O25" si="2">N9*F9</f>
        <v>0</v>
      </c>
      <c r="Q9" s="1">
        <v>1</v>
      </c>
      <c r="R9" s="1">
        <f t="shared" ref="R9:R25" si="3">Q9*F9</f>
        <v>0</v>
      </c>
    </row>
    <row r="10" spans="1:18" x14ac:dyDescent="0.25">
      <c r="B10" s="1"/>
      <c r="C10" s="1"/>
      <c r="D10" s="1" t="s">
        <v>899</v>
      </c>
      <c r="E10" s="1"/>
      <c r="F10" s="1"/>
      <c r="H10" s="1">
        <v>0</v>
      </c>
      <c r="I10" s="1">
        <f t="shared" si="0"/>
        <v>0</v>
      </c>
      <c r="K10" s="1">
        <v>0</v>
      </c>
      <c r="L10" s="1">
        <f t="shared" si="1"/>
        <v>0</v>
      </c>
      <c r="N10" s="1">
        <v>0</v>
      </c>
      <c r="O10" s="1">
        <f t="shared" si="2"/>
        <v>0</v>
      </c>
      <c r="Q10" s="1">
        <v>1</v>
      </c>
      <c r="R10" s="1">
        <f t="shared" si="3"/>
        <v>0</v>
      </c>
    </row>
    <row r="11" spans="1:18" x14ac:dyDescent="0.25">
      <c r="B11" s="1"/>
      <c r="C11" s="1"/>
      <c r="D11" s="1"/>
      <c r="E11" s="1"/>
      <c r="F11" s="1"/>
      <c r="H11" s="1">
        <v>0</v>
      </c>
      <c r="I11" s="1">
        <f t="shared" si="0"/>
        <v>0</v>
      </c>
      <c r="K11" s="1">
        <v>0</v>
      </c>
      <c r="L11" s="1">
        <f t="shared" si="1"/>
        <v>0</v>
      </c>
      <c r="N11" s="1">
        <v>0</v>
      </c>
      <c r="O11" s="1">
        <f t="shared" si="2"/>
        <v>0</v>
      </c>
      <c r="Q11" s="1">
        <v>1</v>
      </c>
      <c r="R11" s="1">
        <f t="shared" si="3"/>
        <v>0</v>
      </c>
    </row>
    <row r="12" spans="1:18" x14ac:dyDescent="0.25">
      <c r="B12" s="1"/>
      <c r="C12" s="1"/>
      <c r="D12" s="1"/>
      <c r="E12" s="1"/>
      <c r="F12" s="1"/>
      <c r="H12" s="1">
        <v>0</v>
      </c>
      <c r="I12" s="1">
        <f t="shared" si="0"/>
        <v>0</v>
      </c>
      <c r="K12" s="1">
        <v>0</v>
      </c>
      <c r="L12" s="1">
        <f t="shared" si="1"/>
        <v>0</v>
      </c>
      <c r="N12" s="1">
        <v>0</v>
      </c>
      <c r="O12" s="1">
        <f t="shared" si="2"/>
        <v>0</v>
      </c>
      <c r="Q12" s="1">
        <v>1</v>
      </c>
      <c r="R12" s="1">
        <f t="shared" si="3"/>
        <v>0</v>
      </c>
    </row>
    <row r="13" spans="1:18" x14ac:dyDescent="0.25">
      <c r="B13" s="1"/>
      <c r="C13" s="1"/>
      <c r="D13" s="1"/>
      <c r="E13" s="1"/>
      <c r="F13" s="1"/>
      <c r="H13" s="1">
        <v>0</v>
      </c>
      <c r="I13" s="1">
        <f t="shared" si="0"/>
        <v>0</v>
      </c>
      <c r="K13" s="1">
        <v>0</v>
      </c>
      <c r="L13" s="1">
        <f t="shared" si="1"/>
        <v>0</v>
      </c>
      <c r="N13" s="1">
        <v>0</v>
      </c>
      <c r="O13" s="1">
        <f t="shared" si="2"/>
        <v>0</v>
      </c>
      <c r="Q13" s="1">
        <v>1</v>
      </c>
      <c r="R13" s="1">
        <f t="shared" si="3"/>
        <v>0</v>
      </c>
    </row>
    <row r="14" spans="1:18" x14ac:dyDescent="0.25">
      <c r="B14" s="1"/>
      <c r="C14" s="31"/>
      <c r="D14" s="1"/>
      <c r="E14" s="1"/>
      <c r="F14" s="1"/>
      <c r="H14" s="1">
        <v>0</v>
      </c>
      <c r="I14" s="1">
        <f t="shared" si="0"/>
        <v>0</v>
      </c>
      <c r="K14" s="1">
        <v>0</v>
      </c>
      <c r="L14" s="1">
        <f t="shared" si="1"/>
        <v>0</v>
      </c>
      <c r="N14" s="1">
        <v>0</v>
      </c>
      <c r="O14" s="1">
        <f t="shared" si="2"/>
        <v>0</v>
      </c>
      <c r="Q14" s="1">
        <v>0</v>
      </c>
      <c r="R14" s="1">
        <f t="shared" si="3"/>
        <v>0</v>
      </c>
    </row>
    <row r="15" spans="1:18" x14ac:dyDescent="0.25">
      <c r="B15" s="1"/>
      <c r="C15" s="31"/>
      <c r="D15" s="1"/>
      <c r="E15" s="1"/>
      <c r="F15" s="1"/>
      <c r="H15" s="1">
        <v>0</v>
      </c>
      <c r="I15" s="1">
        <f t="shared" si="0"/>
        <v>0</v>
      </c>
      <c r="K15" s="1">
        <v>0</v>
      </c>
      <c r="L15" s="1">
        <f t="shared" si="1"/>
        <v>0</v>
      </c>
      <c r="N15" s="1">
        <v>0</v>
      </c>
      <c r="O15" s="1">
        <f t="shared" si="2"/>
        <v>0</v>
      </c>
      <c r="Q15" s="1">
        <v>1</v>
      </c>
      <c r="R15" s="1">
        <f t="shared" si="3"/>
        <v>0</v>
      </c>
    </row>
    <row r="16" spans="1:18" x14ac:dyDescent="0.25">
      <c r="B16" s="1"/>
      <c r="C16" s="31"/>
      <c r="D16" s="1"/>
      <c r="E16" s="1"/>
      <c r="F16" s="1"/>
      <c r="H16" s="1">
        <v>0</v>
      </c>
      <c r="I16" s="1">
        <f t="shared" si="0"/>
        <v>0</v>
      </c>
      <c r="K16" s="1">
        <v>0</v>
      </c>
      <c r="L16" s="1">
        <f t="shared" si="1"/>
        <v>0</v>
      </c>
      <c r="N16" s="1">
        <v>0</v>
      </c>
      <c r="O16" s="1">
        <f t="shared" si="2"/>
        <v>0</v>
      </c>
      <c r="Q16" s="1">
        <v>1</v>
      </c>
      <c r="R16" s="1">
        <f t="shared" si="3"/>
        <v>0</v>
      </c>
    </row>
    <row r="17" spans="2:18" x14ac:dyDescent="0.25">
      <c r="B17" s="1"/>
      <c r="C17" s="31"/>
      <c r="D17" s="1"/>
      <c r="E17" s="1"/>
      <c r="F17" s="1"/>
      <c r="H17" s="1">
        <v>0</v>
      </c>
      <c r="I17" s="1">
        <f t="shared" si="0"/>
        <v>0</v>
      </c>
      <c r="K17" s="1">
        <v>0</v>
      </c>
      <c r="L17" s="1">
        <f t="shared" si="1"/>
        <v>0</v>
      </c>
      <c r="N17" s="1">
        <v>0</v>
      </c>
      <c r="O17" s="1">
        <f t="shared" si="2"/>
        <v>0</v>
      </c>
      <c r="Q17" s="1">
        <v>1</v>
      </c>
      <c r="R17" s="1">
        <f t="shared" si="3"/>
        <v>0</v>
      </c>
    </row>
    <row r="18" spans="2:18" x14ac:dyDescent="0.25">
      <c r="B18" s="1"/>
      <c r="C18" s="31"/>
      <c r="D18" s="1"/>
      <c r="E18" s="1"/>
      <c r="F18" s="1"/>
      <c r="H18" s="1">
        <v>0</v>
      </c>
      <c r="I18" s="1">
        <v>0</v>
      </c>
      <c r="K18" s="1">
        <v>0</v>
      </c>
      <c r="L18" s="1">
        <f t="shared" si="1"/>
        <v>0</v>
      </c>
      <c r="N18" s="1">
        <v>1</v>
      </c>
      <c r="O18" s="1">
        <f t="shared" si="2"/>
        <v>0</v>
      </c>
      <c r="Q18" s="1">
        <v>1</v>
      </c>
      <c r="R18" s="1">
        <f t="shared" si="3"/>
        <v>0</v>
      </c>
    </row>
    <row r="19" spans="2:18" x14ac:dyDescent="0.25">
      <c r="B19" s="1"/>
      <c r="C19" s="31"/>
      <c r="D19" s="1"/>
      <c r="E19" s="1"/>
      <c r="F19" s="1"/>
      <c r="H19" s="1">
        <v>0</v>
      </c>
      <c r="I19" s="1">
        <v>0</v>
      </c>
      <c r="K19" s="1">
        <v>0</v>
      </c>
      <c r="L19" s="1">
        <f t="shared" si="1"/>
        <v>0</v>
      </c>
      <c r="N19" s="1">
        <v>0</v>
      </c>
      <c r="O19" s="1">
        <f t="shared" si="2"/>
        <v>0</v>
      </c>
      <c r="Q19" s="1">
        <v>0</v>
      </c>
      <c r="R19" s="1">
        <f t="shared" si="3"/>
        <v>0</v>
      </c>
    </row>
    <row r="20" spans="2:18" x14ac:dyDescent="0.25">
      <c r="B20" s="1"/>
      <c r="C20" s="31"/>
      <c r="D20" s="1"/>
      <c r="E20" s="1"/>
      <c r="F20" s="1"/>
      <c r="H20" s="1">
        <v>0</v>
      </c>
      <c r="I20" s="1">
        <v>0</v>
      </c>
      <c r="K20" s="1">
        <v>0</v>
      </c>
      <c r="L20" s="1">
        <f t="shared" si="1"/>
        <v>0</v>
      </c>
      <c r="N20" s="1">
        <v>1</v>
      </c>
      <c r="O20" s="1">
        <f t="shared" si="2"/>
        <v>0</v>
      </c>
      <c r="Q20" s="1">
        <v>1</v>
      </c>
      <c r="R20" s="1">
        <f t="shared" si="3"/>
        <v>0</v>
      </c>
    </row>
    <row r="21" spans="2:18" x14ac:dyDescent="0.25">
      <c r="B21" s="1"/>
      <c r="C21" s="31"/>
      <c r="D21" s="1"/>
      <c r="E21" s="1"/>
      <c r="F21" s="1"/>
      <c r="H21" s="1">
        <v>0</v>
      </c>
      <c r="I21" s="1">
        <f t="shared" si="0"/>
        <v>0</v>
      </c>
      <c r="K21" s="1">
        <v>0</v>
      </c>
      <c r="L21" s="1">
        <f t="shared" si="1"/>
        <v>0</v>
      </c>
      <c r="N21" s="1">
        <v>0</v>
      </c>
      <c r="O21" s="1">
        <f t="shared" si="2"/>
        <v>0</v>
      </c>
      <c r="Q21" s="1">
        <v>1</v>
      </c>
      <c r="R21" s="1">
        <f t="shared" si="3"/>
        <v>0</v>
      </c>
    </row>
    <row r="22" spans="2:18" x14ac:dyDescent="0.25">
      <c r="B22" s="1"/>
      <c r="C22" s="31"/>
      <c r="D22" s="1"/>
      <c r="E22" s="1"/>
      <c r="F22" s="1"/>
      <c r="H22" s="1">
        <v>0</v>
      </c>
      <c r="I22" s="1">
        <f t="shared" si="0"/>
        <v>0</v>
      </c>
      <c r="K22" s="1">
        <v>0</v>
      </c>
      <c r="L22" s="1">
        <f t="shared" si="1"/>
        <v>0</v>
      </c>
      <c r="N22" s="1">
        <v>0</v>
      </c>
      <c r="O22" s="1">
        <f t="shared" si="2"/>
        <v>0</v>
      </c>
      <c r="Q22" s="1">
        <v>0</v>
      </c>
      <c r="R22" s="1">
        <f t="shared" si="3"/>
        <v>0</v>
      </c>
    </row>
    <row r="23" spans="2:18" x14ac:dyDescent="0.25">
      <c r="B23" s="1"/>
      <c r="C23" s="31"/>
      <c r="D23" s="1"/>
      <c r="E23" s="1"/>
      <c r="F23" s="1"/>
      <c r="H23" s="1">
        <v>0</v>
      </c>
      <c r="I23" s="1">
        <f t="shared" si="0"/>
        <v>0</v>
      </c>
      <c r="K23" s="1">
        <v>0</v>
      </c>
      <c r="L23" s="1">
        <f t="shared" si="1"/>
        <v>0</v>
      </c>
      <c r="N23" s="1">
        <v>0</v>
      </c>
      <c r="O23" s="1">
        <f t="shared" si="2"/>
        <v>0</v>
      </c>
      <c r="Q23" s="1">
        <v>0</v>
      </c>
      <c r="R23" s="1">
        <f t="shared" si="3"/>
        <v>0</v>
      </c>
    </row>
    <row r="24" spans="2:18" x14ac:dyDescent="0.25">
      <c r="B24" s="1"/>
      <c r="C24" s="1"/>
      <c r="D24" s="1"/>
      <c r="E24" s="1"/>
      <c r="F24" s="1"/>
      <c r="H24" s="1">
        <v>0</v>
      </c>
      <c r="I24" s="1">
        <f t="shared" si="0"/>
        <v>0</v>
      </c>
      <c r="K24" s="1">
        <v>0</v>
      </c>
      <c r="L24" s="1">
        <f t="shared" si="1"/>
        <v>0</v>
      </c>
      <c r="N24" s="1">
        <v>0</v>
      </c>
      <c r="O24" s="1">
        <f t="shared" si="2"/>
        <v>0</v>
      </c>
      <c r="Q24" s="1">
        <v>1</v>
      </c>
      <c r="R24" s="1">
        <f t="shared" si="3"/>
        <v>0</v>
      </c>
    </row>
    <row r="25" spans="2:18" x14ac:dyDescent="0.25">
      <c r="B25" s="1"/>
      <c r="C25" s="1"/>
      <c r="D25" s="1"/>
      <c r="E25" s="1"/>
      <c r="F25" s="1"/>
      <c r="H25" s="1">
        <v>0</v>
      </c>
      <c r="I25" s="1">
        <f t="shared" si="0"/>
        <v>0</v>
      </c>
      <c r="K25" s="1">
        <v>0</v>
      </c>
      <c r="L25" s="1">
        <f t="shared" si="1"/>
        <v>0</v>
      </c>
      <c r="N25" s="1">
        <v>0</v>
      </c>
      <c r="O25" s="1">
        <f t="shared" si="2"/>
        <v>0</v>
      </c>
      <c r="Q25" s="1">
        <v>1</v>
      </c>
      <c r="R25" s="1">
        <f t="shared" si="3"/>
        <v>0</v>
      </c>
    </row>
    <row r="26" spans="2:18" x14ac:dyDescent="0.25">
      <c r="B26" s="1"/>
      <c r="C26" s="1"/>
      <c r="D26" s="1"/>
      <c r="E26" s="1"/>
      <c r="F26" s="1"/>
      <c r="H26" s="1"/>
      <c r="I26" s="1"/>
      <c r="K26" s="1"/>
      <c r="L26" s="1"/>
      <c r="N26" s="1"/>
      <c r="O26" s="1"/>
      <c r="Q26" s="1"/>
      <c r="R26" s="1"/>
    </row>
    <row r="27" spans="2:18" x14ac:dyDescent="0.25">
      <c r="B27" s="31"/>
      <c r="C27" s="31"/>
      <c r="D27" s="1"/>
      <c r="E27" s="1"/>
      <c r="F27" s="1"/>
      <c r="H27" s="1"/>
      <c r="I27" s="1"/>
      <c r="K27" s="1"/>
      <c r="L27" s="1"/>
      <c r="N27" s="1"/>
      <c r="O27" s="1"/>
      <c r="Q27" s="1"/>
      <c r="R27" s="1"/>
    </row>
    <row r="28" spans="2:18" x14ac:dyDescent="0.25">
      <c r="B28" s="31"/>
      <c r="C28" s="31"/>
      <c r="D28" s="7" t="s">
        <v>151</v>
      </c>
      <c r="E28" s="1"/>
      <c r="F28" s="1"/>
      <c r="H28" s="1"/>
      <c r="I28" s="1"/>
      <c r="K28" s="1"/>
      <c r="L28" s="1"/>
      <c r="N28" s="1"/>
      <c r="O28" s="1"/>
      <c r="Q28" s="1"/>
      <c r="R28" s="1"/>
    </row>
    <row r="29" spans="2:18" s="14" customFormat="1" x14ac:dyDescent="0.25">
      <c r="B29" s="40" t="s">
        <v>890</v>
      </c>
      <c r="C29" s="40"/>
      <c r="D29" s="1" t="s">
        <v>271</v>
      </c>
      <c r="E29" s="1"/>
      <c r="F29" s="1"/>
      <c r="G29"/>
      <c r="H29" s="1"/>
      <c r="I29" s="1">
        <v>5</v>
      </c>
      <c r="J29"/>
      <c r="K29" s="1"/>
      <c r="L29" s="1">
        <v>5</v>
      </c>
      <c r="M29"/>
      <c r="N29" s="1"/>
      <c r="O29" s="1">
        <v>5</v>
      </c>
      <c r="P29"/>
      <c r="Q29" s="1"/>
      <c r="R29" s="1">
        <v>5</v>
      </c>
    </row>
    <row r="30" spans="2:18" x14ac:dyDescent="0.25">
      <c r="B30" s="31" t="s">
        <v>891</v>
      </c>
      <c r="C30" s="1"/>
      <c r="D30" s="1" t="s">
        <v>173</v>
      </c>
      <c r="E30" s="7"/>
      <c r="F30" s="7"/>
      <c r="G30" s="14"/>
      <c r="H30" s="7"/>
      <c r="I30" s="1">
        <v>17</v>
      </c>
      <c r="J30" s="14"/>
      <c r="K30" s="7"/>
      <c r="L30" s="1">
        <v>35</v>
      </c>
      <c r="M30" s="14"/>
      <c r="N30" s="7"/>
      <c r="O30" s="7">
        <v>62</v>
      </c>
      <c r="P30" s="14"/>
      <c r="Q30" s="7"/>
      <c r="R30" s="1">
        <v>155</v>
      </c>
    </row>
    <row r="31" spans="2:18" x14ac:dyDescent="0.25">
      <c r="B31" s="1"/>
      <c r="C31" s="1"/>
      <c r="D31" s="1"/>
      <c r="E31" s="1"/>
      <c r="F31" s="1"/>
      <c r="H31" s="1"/>
      <c r="I31" s="1"/>
      <c r="K31" s="1"/>
      <c r="L31" s="1"/>
      <c r="N31" s="1"/>
      <c r="O31" s="1"/>
      <c r="Q31" s="1"/>
      <c r="R31" s="1"/>
    </row>
    <row r="32" spans="2:18" x14ac:dyDescent="0.25">
      <c r="B32" s="1"/>
      <c r="C32" s="1"/>
      <c r="D32" s="1"/>
      <c r="E32" s="1"/>
      <c r="F32" s="1"/>
      <c r="H32" s="1"/>
      <c r="I32" s="1"/>
      <c r="K32" s="1"/>
      <c r="L32" s="1"/>
      <c r="N32" s="1"/>
      <c r="O32" s="1"/>
      <c r="Q32" s="1"/>
      <c r="R32" s="1"/>
    </row>
    <row r="33" spans="2:18" s="14" customFormat="1" x14ac:dyDescent="0.25">
      <c r="B33" s="7"/>
      <c r="C33" s="7"/>
      <c r="D33" s="7" t="s">
        <v>59</v>
      </c>
      <c r="E33" s="7"/>
      <c r="F33" s="7"/>
      <c r="H33" s="7"/>
      <c r="I33" s="7">
        <f>SUM(I9:I32)</f>
        <v>22</v>
      </c>
      <c r="K33" s="7"/>
      <c r="L33" s="7">
        <f>SUM(L9:L32)</f>
        <v>40</v>
      </c>
      <c r="N33" s="7"/>
      <c r="O33" s="7">
        <f>SUM(O9:O32)</f>
        <v>67</v>
      </c>
      <c r="Q33" s="7"/>
      <c r="R33" s="7">
        <f>SUM(R9:R32)</f>
        <v>160</v>
      </c>
    </row>
  </sheetData>
  <mergeCells count="7">
    <mergeCell ref="Q6:R6"/>
    <mergeCell ref="I5:J5"/>
    <mergeCell ref="L5:M5"/>
    <mergeCell ref="O5:P5"/>
    <mergeCell ref="H6:I6"/>
    <mergeCell ref="K6:L6"/>
    <mergeCell ref="N6:O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91C9-2AB2-4FAA-AC80-3F0235E3C477}">
  <dimension ref="A1:R31"/>
  <sheetViews>
    <sheetView workbookViewId="0">
      <selection activeCell="C3" sqref="C3"/>
    </sheetView>
  </sheetViews>
  <sheetFormatPr defaultRowHeight="15" x14ac:dyDescent="0.25"/>
  <cols>
    <col min="1" max="1" width="16" customWidth="1"/>
    <col min="2" max="2" width="11.140625" customWidth="1"/>
    <col min="3" max="3" width="15.85546875" customWidth="1"/>
    <col min="4" max="4" width="28.5703125" customWidth="1"/>
    <col min="5" max="5" width="28.42578125" customWidth="1"/>
    <col min="6" max="6" width="11.7109375" customWidth="1"/>
  </cols>
  <sheetData>
    <row r="1" spans="1:18" x14ac:dyDescent="0.25">
      <c r="A1" s="14" t="s">
        <v>198</v>
      </c>
      <c r="B1" s="14"/>
      <c r="C1" s="14"/>
      <c r="D1" s="14" t="s">
        <v>711</v>
      </c>
    </row>
    <row r="2" spans="1:18" x14ac:dyDescent="0.25">
      <c r="A2" s="14" t="s">
        <v>195</v>
      </c>
      <c r="B2" s="14"/>
      <c r="C2" s="14"/>
      <c r="D2" s="14" t="s">
        <v>712</v>
      </c>
    </row>
    <row r="4" spans="1:18" s="14" customFormat="1" ht="15.75" thickBot="1" x14ac:dyDescent="0.3">
      <c r="A4" s="7" t="s">
        <v>893</v>
      </c>
      <c r="E4" s="28"/>
      <c r="G4" s="29"/>
      <c r="I4" s="64"/>
      <c r="J4" s="64"/>
      <c r="L4" s="64"/>
      <c r="M4" s="64"/>
      <c r="O4" s="64"/>
      <c r="P4" s="64"/>
      <c r="R4" s="32"/>
    </row>
    <row r="5" spans="1:18" s="14" customFormat="1" ht="15.75" thickBot="1" x14ac:dyDescent="0.3">
      <c r="A5" s="7" t="s">
        <v>894</v>
      </c>
      <c r="D5" s="28"/>
      <c r="E5" s="14" t="s">
        <v>159</v>
      </c>
      <c r="F5" s="29">
        <v>0.4</v>
      </c>
      <c r="H5" s="58" t="s">
        <v>0</v>
      </c>
      <c r="I5" s="59"/>
      <c r="K5" s="58" t="s">
        <v>1</v>
      </c>
      <c r="L5" s="59"/>
      <c r="N5" s="62" t="s">
        <v>20</v>
      </c>
      <c r="O5" s="63"/>
      <c r="Q5" s="60" t="s">
        <v>290</v>
      </c>
      <c r="R5" s="61"/>
    </row>
    <row r="6" spans="1:18" x14ac:dyDescent="0.25">
      <c r="B6" s="7" t="s">
        <v>331</v>
      </c>
      <c r="C6" s="7" t="s">
        <v>763</v>
      </c>
      <c r="D6" s="7" t="s">
        <v>158</v>
      </c>
      <c r="E6" s="7" t="s">
        <v>153</v>
      </c>
      <c r="F6" s="7" t="s">
        <v>3</v>
      </c>
      <c r="G6" s="14"/>
      <c r="H6" s="15" t="s">
        <v>4</v>
      </c>
      <c r="I6" s="15" t="s">
        <v>5</v>
      </c>
      <c r="J6" s="14"/>
      <c r="K6" s="15" t="s">
        <v>4</v>
      </c>
      <c r="L6" s="15" t="s">
        <v>5</v>
      </c>
      <c r="M6" s="14"/>
      <c r="N6" s="15" t="s">
        <v>4</v>
      </c>
      <c r="O6" s="16" t="s">
        <v>5</v>
      </c>
      <c r="P6" s="14"/>
      <c r="Q6" s="7" t="s">
        <v>4</v>
      </c>
      <c r="R6" s="7" t="s">
        <v>5</v>
      </c>
    </row>
    <row r="7" spans="1:18" x14ac:dyDescent="0.25">
      <c r="B7" s="1"/>
      <c r="C7" s="1"/>
      <c r="D7" s="1"/>
      <c r="E7" s="1"/>
      <c r="F7" s="1"/>
      <c r="H7" s="1"/>
      <c r="I7" s="1"/>
      <c r="K7" s="1"/>
      <c r="L7" s="1"/>
      <c r="N7" s="1"/>
      <c r="O7" s="1"/>
      <c r="Q7" s="1"/>
      <c r="R7" s="1"/>
    </row>
    <row r="8" spans="1:18" x14ac:dyDescent="0.25">
      <c r="B8" s="1"/>
      <c r="C8" s="1"/>
      <c r="D8" s="1" t="s">
        <v>713</v>
      </c>
      <c r="E8" s="1" t="s">
        <v>714</v>
      </c>
      <c r="F8" s="1">
        <v>103</v>
      </c>
      <c r="H8" s="1">
        <v>1</v>
      </c>
      <c r="I8" s="1">
        <f>H8*F8</f>
        <v>103</v>
      </c>
      <c r="K8" s="1">
        <v>0</v>
      </c>
      <c r="L8" s="1">
        <f>F8*K8</f>
        <v>0</v>
      </c>
      <c r="N8" s="1">
        <v>0</v>
      </c>
      <c r="O8" s="1">
        <f>N8*F8</f>
        <v>0</v>
      </c>
      <c r="Q8" s="1"/>
      <c r="R8" s="1">
        <f>Q8*F8</f>
        <v>0</v>
      </c>
    </row>
    <row r="9" spans="1:18" x14ac:dyDescent="0.25">
      <c r="B9" s="31"/>
      <c r="C9" s="31"/>
      <c r="D9" s="1" t="s">
        <v>715</v>
      </c>
      <c r="E9" s="1" t="s">
        <v>716</v>
      </c>
      <c r="F9" s="1">
        <v>27</v>
      </c>
      <c r="H9" s="1">
        <v>1</v>
      </c>
      <c r="I9" s="1">
        <f t="shared" ref="I9:I24" si="0">H9*F9</f>
        <v>27</v>
      </c>
      <c r="K9" s="1">
        <v>0</v>
      </c>
      <c r="L9" s="1">
        <f t="shared" ref="L9:L24" si="1">F9*K9</f>
        <v>0</v>
      </c>
      <c r="N9" s="1">
        <v>0</v>
      </c>
      <c r="O9" s="1">
        <f t="shared" ref="O9:O24" si="2">N9*F9</f>
        <v>0</v>
      </c>
      <c r="Q9" s="1"/>
      <c r="R9" s="1">
        <f t="shared" ref="R9:R24" si="3">Q9*F9</f>
        <v>0</v>
      </c>
    </row>
    <row r="10" spans="1:18" x14ac:dyDescent="0.25">
      <c r="B10" s="31"/>
      <c r="C10" s="31"/>
      <c r="D10" s="1" t="s">
        <v>717</v>
      </c>
      <c r="E10" s="1" t="s">
        <v>718</v>
      </c>
      <c r="F10" s="1">
        <v>5</v>
      </c>
      <c r="H10" s="1">
        <v>1</v>
      </c>
      <c r="I10" s="1">
        <f t="shared" si="0"/>
        <v>5</v>
      </c>
      <c r="K10" s="1">
        <v>0</v>
      </c>
      <c r="L10" s="1">
        <f t="shared" si="1"/>
        <v>0</v>
      </c>
      <c r="N10" s="1">
        <v>0</v>
      </c>
      <c r="O10" s="1">
        <f t="shared" si="2"/>
        <v>0</v>
      </c>
      <c r="Q10" s="1"/>
      <c r="R10" s="1">
        <f t="shared" si="3"/>
        <v>0</v>
      </c>
    </row>
    <row r="11" spans="1:18" x14ac:dyDescent="0.25">
      <c r="B11" s="1"/>
      <c r="C11" s="1"/>
      <c r="D11" s="1" t="s">
        <v>719</v>
      </c>
      <c r="E11" s="1" t="s">
        <v>720</v>
      </c>
      <c r="F11" s="1">
        <v>50</v>
      </c>
      <c r="H11" s="1">
        <v>1</v>
      </c>
      <c r="I11" s="1">
        <f t="shared" si="0"/>
        <v>50</v>
      </c>
      <c r="K11" s="1">
        <v>0</v>
      </c>
      <c r="L11" s="1">
        <f t="shared" si="1"/>
        <v>0</v>
      </c>
      <c r="N11" s="1">
        <v>0</v>
      </c>
      <c r="O11" s="1">
        <f t="shared" si="2"/>
        <v>0</v>
      </c>
      <c r="Q11" s="1">
        <v>1</v>
      </c>
      <c r="R11" s="1">
        <f t="shared" si="3"/>
        <v>50</v>
      </c>
    </row>
    <row r="12" spans="1:18" x14ac:dyDescent="0.25">
      <c r="B12" s="1"/>
      <c r="C12" s="1"/>
      <c r="D12" s="1" t="s">
        <v>721</v>
      </c>
      <c r="E12" s="1" t="s">
        <v>722</v>
      </c>
      <c r="F12" s="1">
        <v>120</v>
      </c>
      <c r="H12" s="1">
        <v>0</v>
      </c>
      <c r="I12" s="1">
        <f t="shared" si="0"/>
        <v>0</v>
      </c>
      <c r="K12" s="1">
        <v>1</v>
      </c>
      <c r="L12" s="1">
        <f t="shared" si="1"/>
        <v>120</v>
      </c>
      <c r="N12" s="1">
        <v>0</v>
      </c>
      <c r="O12" s="1">
        <f t="shared" si="2"/>
        <v>0</v>
      </c>
      <c r="Q12" s="1">
        <v>1</v>
      </c>
      <c r="R12" s="1">
        <f t="shared" si="3"/>
        <v>120</v>
      </c>
    </row>
    <row r="13" spans="1:18" x14ac:dyDescent="0.25">
      <c r="B13" s="31"/>
      <c r="C13" s="31"/>
      <c r="D13" s="1" t="s">
        <v>723</v>
      </c>
      <c r="E13" s="1" t="s">
        <v>724</v>
      </c>
      <c r="F13" s="1">
        <v>70</v>
      </c>
      <c r="H13" s="1">
        <v>0</v>
      </c>
      <c r="I13" s="1">
        <f t="shared" si="0"/>
        <v>0</v>
      </c>
      <c r="K13" s="1">
        <v>0</v>
      </c>
      <c r="L13" s="1">
        <f t="shared" si="1"/>
        <v>0</v>
      </c>
      <c r="N13" s="1">
        <v>0</v>
      </c>
      <c r="O13" s="1">
        <f t="shared" si="2"/>
        <v>0</v>
      </c>
      <c r="Q13" s="1"/>
      <c r="R13" s="1">
        <f t="shared" si="3"/>
        <v>0</v>
      </c>
    </row>
    <row r="14" spans="1:18" x14ac:dyDescent="0.25">
      <c r="B14" s="31"/>
      <c r="C14" s="31"/>
      <c r="D14" s="1" t="s">
        <v>723</v>
      </c>
      <c r="E14" s="1" t="s">
        <v>725</v>
      </c>
      <c r="F14" s="1">
        <v>95</v>
      </c>
      <c r="H14" s="1">
        <v>0</v>
      </c>
      <c r="I14" s="1">
        <f t="shared" si="0"/>
        <v>0</v>
      </c>
      <c r="K14" s="1">
        <v>1</v>
      </c>
      <c r="L14" s="1">
        <f t="shared" si="1"/>
        <v>95</v>
      </c>
      <c r="N14" s="1">
        <v>0</v>
      </c>
      <c r="O14" s="1">
        <f t="shared" si="2"/>
        <v>0</v>
      </c>
      <c r="Q14" s="1">
        <v>1</v>
      </c>
      <c r="R14" s="1">
        <f t="shared" si="3"/>
        <v>95</v>
      </c>
    </row>
    <row r="15" spans="1:18" x14ac:dyDescent="0.25">
      <c r="B15" s="31"/>
      <c r="C15" s="31"/>
      <c r="D15" s="1" t="s">
        <v>723</v>
      </c>
      <c r="E15" s="1" t="s">
        <v>726</v>
      </c>
      <c r="F15" s="1">
        <v>130</v>
      </c>
      <c r="H15" s="1">
        <v>0</v>
      </c>
      <c r="I15" s="1">
        <f t="shared" si="0"/>
        <v>0</v>
      </c>
      <c r="K15" s="1">
        <v>0</v>
      </c>
      <c r="L15" s="1">
        <f t="shared" si="1"/>
        <v>0</v>
      </c>
      <c r="N15" s="1">
        <v>0</v>
      </c>
      <c r="O15" s="1">
        <f t="shared" si="2"/>
        <v>0</v>
      </c>
      <c r="Q15" s="1">
        <v>1</v>
      </c>
      <c r="R15" s="1">
        <f t="shared" si="3"/>
        <v>130</v>
      </c>
    </row>
    <row r="16" spans="1:18" x14ac:dyDescent="0.25">
      <c r="B16" s="31"/>
      <c r="C16" s="31"/>
      <c r="D16" s="1" t="s">
        <v>727</v>
      </c>
      <c r="E16" s="1"/>
      <c r="F16" s="1">
        <v>100</v>
      </c>
      <c r="H16" s="1">
        <v>0</v>
      </c>
      <c r="I16" s="1">
        <f t="shared" si="0"/>
        <v>0</v>
      </c>
      <c r="K16" s="1">
        <v>1</v>
      </c>
      <c r="L16" s="1">
        <f t="shared" si="1"/>
        <v>100</v>
      </c>
      <c r="N16" s="1">
        <v>0</v>
      </c>
      <c r="O16" s="1">
        <f t="shared" si="2"/>
        <v>0</v>
      </c>
      <c r="Q16" s="1">
        <v>1</v>
      </c>
      <c r="R16" s="1">
        <f t="shared" si="3"/>
        <v>100</v>
      </c>
    </row>
    <row r="17" spans="2:18" x14ac:dyDescent="0.25">
      <c r="B17" s="31"/>
      <c r="C17" s="31"/>
      <c r="D17" s="1" t="s">
        <v>728</v>
      </c>
      <c r="E17" s="1" t="s">
        <v>729</v>
      </c>
      <c r="F17" s="1">
        <v>500</v>
      </c>
      <c r="H17" s="1">
        <v>0</v>
      </c>
      <c r="I17" s="1">
        <f t="shared" si="0"/>
        <v>0</v>
      </c>
      <c r="K17" s="1">
        <v>0</v>
      </c>
      <c r="L17" s="1">
        <f t="shared" si="1"/>
        <v>0</v>
      </c>
      <c r="N17" s="1">
        <v>1</v>
      </c>
      <c r="O17" s="1">
        <f t="shared" si="2"/>
        <v>500</v>
      </c>
      <c r="Q17" s="1">
        <v>1</v>
      </c>
      <c r="R17" s="1">
        <f t="shared" si="3"/>
        <v>500</v>
      </c>
    </row>
    <row r="18" spans="2:18" x14ac:dyDescent="0.25">
      <c r="B18" s="31"/>
      <c r="C18" s="31"/>
      <c r="D18" s="1" t="s">
        <v>730</v>
      </c>
      <c r="E18" s="1"/>
      <c r="F18" s="1">
        <v>30</v>
      </c>
      <c r="H18" s="1">
        <v>0</v>
      </c>
      <c r="I18" s="1">
        <f t="shared" si="0"/>
        <v>0</v>
      </c>
      <c r="K18" s="1">
        <v>0</v>
      </c>
      <c r="L18" s="1">
        <f t="shared" si="1"/>
        <v>0</v>
      </c>
      <c r="N18" s="1">
        <v>1</v>
      </c>
      <c r="O18" s="1">
        <f t="shared" si="2"/>
        <v>30</v>
      </c>
      <c r="Q18" s="1">
        <v>2</v>
      </c>
      <c r="R18" s="1">
        <f t="shared" si="3"/>
        <v>60</v>
      </c>
    </row>
    <row r="19" spans="2:18" x14ac:dyDescent="0.25">
      <c r="B19" s="31"/>
      <c r="C19" s="31"/>
      <c r="D19" s="1" t="s">
        <v>731</v>
      </c>
      <c r="E19" s="1"/>
      <c r="F19" s="1">
        <v>80</v>
      </c>
      <c r="H19" s="1">
        <v>0</v>
      </c>
      <c r="I19" s="1">
        <f t="shared" si="0"/>
        <v>0</v>
      </c>
      <c r="K19" s="1">
        <v>0</v>
      </c>
      <c r="L19" s="1">
        <f t="shared" si="1"/>
        <v>0</v>
      </c>
      <c r="N19" s="1">
        <v>1</v>
      </c>
      <c r="O19" s="1">
        <f t="shared" si="2"/>
        <v>80</v>
      </c>
      <c r="Q19" s="1">
        <v>1</v>
      </c>
      <c r="R19" s="1">
        <f t="shared" si="3"/>
        <v>80</v>
      </c>
    </row>
    <row r="20" spans="2:18" x14ac:dyDescent="0.25">
      <c r="B20" s="31"/>
      <c r="C20" s="31"/>
      <c r="D20" s="1" t="s">
        <v>732</v>
      </c>
      <c r="E20" s="1"/>
      <c r="F20" s="1">
        <v>150</v>
      </c>
      <c r="H20" s="1">
        <v>0</v>
      </c>
      <c r="I20" s="1">
        <f t="shared" si="0"/>
        <v>0</v>
      </c>
      <c r="K20" s="1">
        <v>0</v>
      </c>
      <c r="L20" s="1">
        <f t="shared" si="1"/>
        <v>0</v>
      </c>
      <c r="N20" s="1"/>
      <c r="O20" s="1">
        <f t="shared" si="2"/>
        <v>0</v>
      </c>
      <c r="Q20" s="1">
        <v>1</v>
      </c>
      <c r="R20" s="1">
        <f t="shared" si="3"/>
        <v>150</v>
      </c>
    </row>
    <row r="21" spans="2:18" x14ac:dyDescent="0.25">
      <c r="B21" s="31"/>
      <c r="C21" s="31"/>
      <c r="D21" s="1" t="s">
        <v>733</v>
      </c>
      <c r="E21" s="1" t="s">
        <v>734</v>
      </c>
      <c r="F21" s="1">
        <v>250</v>
      </c>
      <c r="H21" s="1">
        <v>0</v>
      </c>
      <c r="I21" s="1">
        <f t="shared" si="0"/>
        <v>0</v>
      </c>
      <c r="K21" s="1">
        <v>0</v>
      </c>
      <c r="L21" s="1">
        <f t="shared" si="1"/>
        <v>0</v>
      </c>
      <c r="N21" s="1"/>
      <c r="O21" s="1">
        <f t="shared" si="2"/>
        <v>0</v>
      </c>
      <c r="Q21" s="1">
        <v>1</v>
      </c>
      <c r="R21" s="1">
        <f t="shared" si="3"/>
        <v>250</v>
      </c>
    </row>
    <row r="22" spans="2:18" x14ac:dyDescent="0.25">
      <c r="B22" s="1"/>
      <c r="C22" s="1"/>
      <c r="D22" s="1"/>
      <c r="E22" s="1"/>
      <c r="F22" s="1"/>
      <c r="H22" s="1"/>
      <c r="I22" s="1">
        <f t="shared" si="0"/>
        <v>0</v>
      </c>
      <c r="K22" s="1"/>
      <c r="L22" s="1">
        <f t="shared" si="1"/>
        <v>0</v>
      </c>
      <c r="N22" s="1"/>
      <c r="O22" s="1">
        <f t="shared" si="2"/>
        <v>0</v>
      </c>
      <c r="Q22" s="1"/>
      <c r="R22" s="1">
        <f t="shared" si="3"/>
        <v>0</v>
      </c>
    </row>
    <row r="23" spans="2:18" x14ac:dyDescent="0.25">
      <c r="B23" s="1"/>
      <c r="C23" s="1"/>
      <c r="D23" s="7"/>
      <c r="E23" s="1"/>
      <c r="F23" s="1"/>
      <c r="H23" s="1"/>
      <c r="I23" s="1">
        <f t="shared" si="0"/>
        <v>0</v>
      </c>
      <c r="K23" s="1"/>
      <c r="L23" s="1">
        <f t="shared" si="1"/>
        <v>0</v>
      </c>
      <c r="N23" s="1"/>
      <c r="O23" s="1">
        <f t="shared" si="2"/>
        <v>0</v>
      </c>
      <c r="Q23" s="1"/>
      <c r="R23" s="1">
        <f t="shared" si="3"/>
        <v>0</v>
      </c>
    </row>
    <row r="24" spans="2:18" x14ac:dyDescent="0.25">
      <c r="B24" s="31"/>
      <c r="C24" s="31"/>
      <c r="D24" s="7" t="s">
        <v>151</v>
      </c>
      <c r="E24" s="1"/>
      <c r="F24" s="1"/>
      <c r="H24" s="1"/>
      <c r="I24" s="1">
        <f t="shared" si="0"/>
        <v>0</v>
      </c>
      <c r="K24" s="1"/>
      <c r="L24" s="1">
        <f t="shared" si="1"/>
        <v>0</v>
      </c>
      <c r="N24" s="1"/>
      <c r="O24" s="1">
        <f t="shared" si="2"/>
        <v>0</v>
      </c>
      <c r="Q24" s="1"/>
      <c r="R24" s="1">
        <f t="shared" si="3"/>
        <v>0</v>
      </c>
    </row>
    <row r="25" spans="2:18" x14ac:dyDescent="0.25">
      <c r="B25" s="31"/>
      <c r="C25" s="31"/>
      <c r="D25" s="1" t="s">
        <v>271</v>
      </c>
      <c r="E25" s="1"/>
      <c r="F25" s="1"/>
      <c r="H25" s="1"/>
      <c r="I25" s="1">
        <v>5</v>
      </c>
      <c r="K25" s="1"/>
      <c r="L25" s="1">
        <v>5</v>
      </c>
      <c r="N25" s="1"/>
      <c r="O25" s="1">
        <v>5</v>
      </c>
      <c r="Q25" s="1"/>
      <c r="R25" s="1">
        <v>5</v>
      </c>
    </row>
    <row r="26" spans="2:18" s="14" customFormat="1" x14ac:dyDescent="0.25">
      <c r="B26" s="40"/>
      <c r="C26" s="40"/>
      <c r="D26" s="1" t="s">
        <v>173</v>
      </c>
      <c r="E26" s="1"/>
      <c r="F26" s="1"/>
      <c r="G26"/>
      <c r="H26" s="1"/>
      <c r="I26" s="1">
        <v>18</v>
      </c>
      <c r="J26"/>
      <c r="K26" s="1"/>
      <c r="L26" s="1">
        <v>31</v>
      </c>
      <c r="M26"/>
      <c r="N26" s="1"/>
      <c r="O26" s="1">
        <v>61</v>
      </c>
      <c r="P26"/>
      <c r="Q26" s="1"/>
      <c r="R26" s="1">
        <v>150</v>
      </c>
    </row>
    <row r="27" spans="2:18" x14ac:dyDescent="0.25">
      <c r="B27" s="1"/>
      <c r="C27" s="1"/>
      <c r="D27" s="7"/>
      <c r="E27" s="7"/>
      <c r="F27" s="7"/>
      <c r="G27" s="14"/>
      <c r="H27" s="7"/>
      <c r="I27" s="1"/>
      <c r="J27" s="14"/>
      <c r="K27" s="7"/>
      <c r="L27" s="1"/>
      <c r="M27" s="14"/>
      <c r="N27" s="7"/>
      <c r="O27" s="1"/>
      <c r="P27" s="14"/>
      <c r="Q27" s="7"/>
      <c r="R27" s="1"/>
    </row>
    <row r="28" spans="2:18" x14ac:dyDescent="0.25">
      <c r="B28" s="1"/>
      <c r="C28" s="1"/>
      <c r="D28" s="1"/>
      <c r="E28" s="1"/>
      <c r="F28" s="1"/>
      <c r="H28" s="1"/>
      <c r="I28" s="1"/>
      <c r="K28" s="1"/>
      <c r="L28" s="1"/>
      <c r="N28" s="1"/>
      <c r="O28" s="1"/>
      <c r="Q28" s="1"/>
      <c r="R28" s="1"/>
    </row>
    <row r="29" spans="2:18" x14ac:dyDescent="0.25">
      <c r="B29" s="1"/>
      <c r="C29" s="1"/>
      <c r="D29" s="1"/>
      <c r="E29" s="1"/>
      <c r="F29" s="1"/>
      <c r="H29" s="1"/>
      <c r="I29" s="1"/>
      <c r="K29" s="1"/>
      <c r="L29" s="1"/>
      <c r="N29" s="1"/>
      <c r="O29" s="1"/>
      <c r="Q29" s="1"/>
      <c r="R29" s="1"/>
    </row>
    <row r="30" spans="2:18" x14ac:dyDescent="0.25">
      <c r="B30" s="1"/>
      <c r="C30" s="1"/>
      <c r="D30" s="1"/>
      <c r="E30" s="1"/>
      <c r="F30" s="1"/>
      <c r="H30" s="1"/>
      <c r="I30" s="1">
        <f>SUM(I8:I29)</f>
        <v>208</v>
      </c>
      <c r="K30" s="1"/>
      <c r="L30" s="1">
        <f>SUM(L8:L29)</f>
        <v>351</v>
      </c>
      <c r="N30" s="1"/>
      <c r="O30" s="1">
        <f>SUM(O8:O29)</f>
        <v>676</v>
      </c>
      <c r="Q30" s="1"/>
      <c r="R30" s="1">
        <f>SUM(R8:R29)</f>
        <v>1690</v>
      </c>
    </row>
    <row r="31" spans="2:18" x14ac:dyDescent="0.25">
      <c r="R31" s="4"/>
    </row>
  </sheetData>
  <mergeCells count="7">
    <mergeCell ref="Q5:R5"/>
    <mergeCell ref="I4:J4"/>
    <mergeCell ref="L4:M4"/>
    <mergeCell ref="O4:P4"/>
    <mergeCell ref="H5:I5"/>
    <mergeCell ref="K5:L5"/>
    <mergeCell ref="N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CODES</vt:lpstr>
      <vt:lpstr>Chicken Prjects -BROILERS</vt:lpstr>
      <vt:lpstr>Chicken Prjects - LAYERS</vt:lpstr>
      <vt:lpstr>Agric Machines -INCUBATORS</vt:lpstr>
      <vt:lpstr>Events Man- PA systems</vt:lpstr>
      <vt:lpstr>Entertainment - Bar Equipment</vt:lpstr>
      <vt:lpstr>Events Man -VENUE SET UP</vt:lpstr>
      <vt:lpstr>Tailoring -SEWING MACHINES</vt:lpstr>
      <vt:lpstr>Personal Dev-DRIVERS LICENSE</vt:lpstr>
      <vt:lpstr>Cleaning Service-Car wash</vt:lpstr>
      <vt:lpstr>PERSONAL DEVELOPMENT</vt:lpstr>
      <vt:lpstr>SALOON EQUIPMENT</vt:lpstr>
      <vt:lpstr>BARBER</vt:lpstr>
      <vt:lpstr>BRAIDING ,WEAVING,WIG INSTAL</vt:lpstr>
      <vt:lpstr>NAILS</vt:lpstr>
      <vt:lpstr>MEDIA PRODUCTION-Photography</vt:lpstr>
      <vt:lpstr>Events management -catering</vt:lpstr>
      <vt:lpstr>Events Man -Vediography&amp;Photog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2026-02-04T14:13:52Z</dcterms:created>
  <dcterms:modified xsi:type="dcterms:W3CDTF">2026-03-13T07:50:58Z</dcterms:modified>
</cp:coreProperties>
</file>
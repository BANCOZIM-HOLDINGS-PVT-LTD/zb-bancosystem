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B21C57-992B-49EA-8B92-95ED0C8C37D2}" xr6:coauthVersionLast="47" xr6:coauthVersionMax="47" xr10:uidLastSave="{00000000-0000-0000-0000-000000000000}"/>
  <bookViews>
    <workbookView xWindow="-120" yWindow="-120" windowWidth="19440" windowHeight="14880" xr2:uid="{0E315487-FEB2-49D0-A553-A6992E5CC59A}"/>
  </bookViews>
  <sheets>
    <sheet name="CODES" sheetId="10" r:id="rId1"/>
    <sheet name="Chicken Prjects -BROILERS" sheetId="1" r:id="rId2"/>
    <sheet name="Chicken Prjects - LAYERS" sheetId="2" r:id="rId3"/>
    <sheet name="Agric Machines -INCUBATORS" sheetId="9" r:id="rId4"/>
    <sheet name="Events Man- PA systems" sheetId="12" r:id="rId5"/>
    <sheet name="Entertainment - Bar Equipment" sheetId="11" r:id="rId6"/>
    <sheet name="Events Man -VENUE SET UP" sheetId="13" r:id="rId7"/>
    <sheet name="Tailoring -SEWING MACHINES" sheetId="14" r:id="rId8"/>
    <sheet name="Personal Dev-DRIVERS LICENSE" sheetId="15" r:id="rId9"/>
    <sheet name="SALOON EQUIPMENT" sheetId="7" r:id="rId10"/>
    <sheet name="BARBER" sheetId="3" r:id="rId11"/>
    <sheet name="BRAIDING ,WEAVING,WIG INSTAL" sheetId="4" r:id="rId12"/>
    <sheet name="NAILS" sheetId="5" r:id="rId13"/>
    <sheet name="MAKE -UP" sheetId="6" r:id="rId14"/>
    <sheet name="Personal Dev-VOCATIONAL" sheetId="1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5" i="13" l="1"/>
  <c r="W25" i="13"/>
  <c r="T24" i="13"/>
  <c r="Q24" i="13"/>
  <c r="N23" i="13"/>
  <c r="Z9" i="13"/>
  <c r="Z10" i="13"/>
  <c r="Z11" i="13"/>
  <c r="Z12" i="13"/>
  <c r="Z13" i="13"/>
  <c r="Z14" i="13"/>
  <c r="Z15" i="13"/>
  <c r="W9" i="13"/>
  <c r="W10" i="13"/>
  <c r="W11" i="13"/>
  <c r="W12" i="13"/>
  <c r="W13" i="13"/>
  <c r="W14" i="13"/>
  <c r="W15" i="13"/>
  <c r="T9" i="13"/>
  <c r="T10" i="13"/>
  <c r="T11" i="13"/>
  <c r="T12" i="13"/>
  <c r="T13" i="13"/>
  <c r="T14" i="13"/>
  <c r="T15" i="13"/>
  <c r="Q10" i="13"/>
  <c r="Q11" i="13"/>
  <c r="Q12" i="13"/>
  <c r="Q13" i="13"/>
  <c r="Q14" i="13"/>
  <c r="Q15" i="13"/>
  <c r="Q9" i="13"/>
  <c r="Q8" i="13"/>
  <c r="N9" i="13"/>
  <c r="N10" i="13"/>
  <c r="N11" i="13"/>
  <c r="N12" i="13"/>
  <c r="N13" i="13"/>
  <c r="N14" i="13"/>
  <c r="N15" i="13"/>
  <c r="K9" i="13"/>
  <c r="K10" i="13"/>
  <c r="K11" i="13"/>
  <c r="K12" i="13"/>
  <c r="K13" i="13"/>
  <c r="K14" i="13"/>
  <c r="K15" i="13"/>
  <c r="H9" i="13"/>
  <c r="H10" i="13"/>
  <c r="H11" i="13"/>
  <c r="H12" i="13"/>
  <c r="H13" i="13"/>
  <c r="H14" i="13"/>
  <c r="H15" i="13"/>
  <c r="Q23" i="11"/>
  <c r="N22" i="11"/>
  <c r="K21" i="11"/>
  <c r="Q9" i="11"/>
  <c r="Q10" i="11"/>
  <c r="Q11" i="11"/>
  <c r="Q12" i="11"/>
  <c r="Q13" i="11"/>
  <c r="Q14" i="11"/>
  <c r="Q15" i="11"/>
  <c r="N9" i="11"/>
  <c r="N10" i="11"/>
  <c r="N11" i="11"/>
  <c r="N12" i="11"/>
  <c r="N13" i="11"/>
  <c r="N14" i="11"/>
  <c r="N15" i="11"/>
  <c r="N8" i="11"/>
  <c r="K9" i="11"/>
  <c r="K10" i="11"/>
  <c r="K11" i="11"/>
  <c r="K12" i="11"/>
  <c r="K13" i="11"/>
  <c r="K14" i="11"/>
  <c r="K15" i="11"/>
  <c r="K8" i="11"/>
  <c r="Q21" i="9"/>
  <c r="R14" i="9"/>
  <c r="N20" i="9"/>
  <c r="O14" i="9"/>
  <c r="K19" i="9"/>
  <c r="L14" i="9"/>
  <c r="P23" i="12"/>
  <c r="M22" i="12"/>
  <c r="P33" i="2"/>
  <c r="P34" i="2"/>
  <c r="M34" i="2"/>
  <c r="D34" i="2"/>
  <c r="M21" i="17"/>
  <c r="P21" i="17"/>
  <c r="P27" i="17"/>
  <c r="M27" i="17"/>
  <c r="H27" i="17"/>
  <c r="P25" i="17"/>
  <c r="M25" i="17"/>
  <c r="P23" i="17"/>
  <c r="M23" i="17"/>
  <c r="H23" i="17"/>
  <c r="M32" i="17"/>
  <c r="P12" i="17"/>
  <c r="P32" i="17" s="1"/>
  <c r="M12" i="17"/>
  <c r="H32" i="17"/>
  <c r="N18" i="15"/>
  <c r="K18" i="15"/>
  <c r="H18" i="15"/>
  <c r="N15" i="15"/>
  <c r="K15" i="15"/>
  <c r="H15" i="15"/>
  <c r="N19" i="15"/>
  <c r="K19" i="15"/>
  <c r="H19" i="15"/>
  <c r="N16" i="15"/>
  <c r="K16" i="15"/>
  <c r="H16" i="15"/>
  <c r="N12" i="15"/>
  <c r="N11" i="15"/>
  <c r="K11" i="15"/>
  <c r="H11" i="15"/>
  <c r="N13" i="15"/>
  <c r="K12" i="15"/>
  <c r="K13" i="15"/>
  <c r="H13" i="15"/>
  <c r="H12" i="15"/>
  <c r="N10" i="15"/>
  <c r="N14" i="15"/>
  <c r="N17" i="15"/>
  <c r="N20" i="15"/>
  <c r="N21" i="15"/>
  <c r="N9" i="15"/>
  <c r="K10" i="15"/>
  <c r="K14" i="15"/>
  <c r="K17" i="15"/>
  <c r="K20" i="15"/>
  <c r="K21" i="15"/>
  <c r="K9" i="15"/>
  <c r="H10" i="15"/>
  <c r="H14" i="15"/>
  <c r="H17" i="15"/>
  <c r="H20" i="15"/>
  <c r="H21" i="15"/>
  <c r="H9" i="15"/>
  <c r="N30" i="14"/>
  <c r="K29" i="14"/>
  <c r="Q20" i="14"/>
  <c r="N20" i="14"/>
  <c r="K20" i="14"/>
  <c r="H20" i="14"/>
  <c r="Q19" i="14"/>
  <c r="N19" i="14"/>
  <c r="K19" i="14"/>
  <c r="H19" i="14"/>
  <c r="Q18" i="14"/>
  <c r="N18" i="14"/>
  <c r="K18" i="14"/>
  <c r="H18" i="14"/>
  <c r="Q17" i="14"/>
  <c r="N17" i="14"/>
  <c r="K17" i="14"/>
  <c r="H17" i="14"/>
  <c r="Q16" i="14"/>
  <c r="N16" i="14"/>
  <c r="K16" i="14"/>
  <c r="H16" i="14"/>
  <c r="Q15" i="14"/>
  <c r="N15" i="14"/>
  <c r="K15" i="14"/>
  <c r="H15" i="14"/>
  <c r="H13" i="14"/>
  <c r="Q11" i="14"/>
  <c r="N11" i="14"/>
  <c r="K11" i="14"/>
  <c r="H11" i="14"/>
  <c r="Z8" i="13"/>
  <c r="AA16" i="13" s="1"/>
  <c r="W8" i="13"/>
  <c r="X16" i="13" s="1"/>
  <c r="T8" i="13"/>
  <c r="U16" i="13" s="1"/>
  <c r="N8" i="13"/>
  <c r="K8" i="13"/>
  <c r="H8" i="13"/>
  <c r="H9" i="11"/>
  <c r="H15" i="11"/>
  <c r="Q8" i="11"/>
  <c r="H10" i="11"/>
  <c r="H11" i="11"/>
  <c r="H12" i="11"/>
  <c r="H13" i="11"/>
  <c r="H14" i="11"/>
  <c r="H8" i="11"/>
  <c r="G8" i="12"/>
  <c r="G9" i="12"/>
  <c r="G10" i="12"/>
  <c r="G11" i="12"/>
  <c r="G12" i="12"/>
  <c r="G13" i="12"/>
  <c r="G14" i="12"/>
  <c r="G15" i="12"/>
  <c r="G7" i="12"/>
  <c r="J8" i="12"/>
  <c r="K16" i="12" s="1"/>
  <c r="J21" i="12" s="1"/>
  <c r="J9" i="12"/>
  <c r="J10" i="12"/>
  <c r="J11" i="12"/>
  <c r="J12" i="12"/>
  <c r="J13" i="12"/>
  <c r="J14" i="12"/>
  <c r="J15" i="12"/>
  <c r="M8" i="12"/>
  <c r="M9" i="12"/>
  <c r="M10" i="12"/>
  <c r="M11" i="12"/>
  <c r="M12" i="12"/>
  <c r="M13" i="12"/>
  <c r="M14" i="12"/>
  <c r="M15" i="12"/>
  <c r="P10" i="12"/>
  <c r="P8" i="12"/>
  <c r="P9" i="12"/>
  <c r="P11" i="12"/>
  <c r="P12" i="12"/>
  <c r="P13" i="12"/>
  <c r="P14" i="12"/>
  <c r="P15" i="12"/>
  <c r="P33" i="1"/>
  <c r="P34" i="1"/>
  <c r="P35" i="1"/>
  <c r="P36" i="1"/>
  <c r="P32" i="1"/>
  <c r="P26" i="1"/>
  <c r="P22" i="1"/>
  <c r="P23" i="1"/>
  <c r="P21" i="1"/>
  <c r="P9" i="1"/>
  <c r="P10" i="1"/>
  <c r="P11" i="1"/>
  <c r="P12" i="1"/>
  <c r="P13" i="1"/>
  <c r="P8" i="1"/>
  <c r="P6" i="1"/>
  <c r="P40" i="1"/>
  <c r="P39" i="1"/>
  <c r="P28" i="1"/>
  <c r="P27" i="1"/>
  <c r="P18" i="1"/>
  <c r="P17" i="1"/>
  <c r="P16" i="1"/>
  <c r="P26" i="2"/>
  <c r="P27" i="2"/>
  <c r="P28" i="2"/>
  <c r="P29" i="2"/>
  <c r="P25" i="2"/>
  <c r="P15" i="2"/>
  <c r="P16" i="2"/>
  <c r="P19" i="2"/>
  <c r="P20" i="2"/>
  <c r="P21" i="2"/>
  <c r="P14" i="2"/>
  <c r="P6" i="2"/>
  <c r="M7" i="12"/>
  <c r="P7" i="12"/>
  <c r="J7" i="12"/>
  <c r="N19" i="11"/>
  <c r="K18" i="11"/>
  <c r="J9" i="7"/>
  <c r="M9" i="7"/>
  <c r="P9" i="7"/>
  <c r="G10" i="7"/>
  <c r="J10" i="7"/>
  <c r="M10" i="7"/>
  <c r="P10" i="7"/>
  <c r="G13" i="7"/>
  <c r="J13" i="7"/>
  <c r="M13" i="7"/>
  <c r="P13" i="7"/>
  <c r="G14" i="7"/>
  <c r="J14" i="7"/>
  <c r="M14" i="7"/>
  <c r="P14" i="7"/>
  <c r="G15" i="7"/>
  <c r="J15" i="7"/>
  <c r="M15" i="7"/>
  <c r="P15" i="7"/>
  <c r="G16" i="7"/>
  <c r="J16" i="7"/>
  <c r="M16" i="7"/>
  <c r="P16" i="7"/>
  <c r="G19" i="7"/>
  <c r="J19" i="7"/>
  <c r="M19" i="7"/>
  <c r="P19" i="7"/>
  <c r="M20" i="7"/>
  <c r="P20" i="7"/>
  <c r="K9" i="9"/>
  <c r="K10" i="9"/>
  <c r="K11" i="9"/>
  <c r="K12" i="9"/>
  <c r="K13" i="9"/>
  <c r="K17" i="9"/>
  <c r="K8" i="9"/>
  <c r="Q13" i="9"/>
  <c r="N11" i="9"/>
  <c r="H17" i="9"/>
  <c r="Q17" i="9" s="1"/>
  <c r="H8" i="9"/>
  <c r="M33" i="2"/>
  <c r="M29" i="2"/>
  <c r="J29" i="2"/>
  <c r="G29" i="2"/>
  <c r="M28" i="2"/>
  <c r="M27" i="2"/>
  <c r="J27" i="2"/>
  <c r="G27" i="2"/>
  <c r="M26" i="2"/>
  <c r="J26" i="2"/>
  <c r="G26" i="2"/>
  <c r="M25" i="2"/>
  <c r="J25" i="2"/>
  <c r="G25" i="2"/>
  <c r="O16" i="13" l="1"/>
  <c r="R16" i="13"/>
  <c r="I16" i="13"/>
  <c r="H22" i="13" s="1"/>
  <c r="L16" i="13"/>
  <c r="K23" i="13" s="1"/>
  <c r="O16" i="11"/>
  <c r="R16" i="11"/>
  <c r="L16" i="11"/>
  <c r="I16" i="11"/>
  <c r="H20" i="11" s="1"/>
  <c r="I14" i="9"/>
  <c r="H18" i="9" s="1"/>
  <c r="H24" i="9" s="1"/>
  <c r="N16" i="12"/>
  <c r="Q16" i="12"/>
  <c r="H16" i="12"/>
  <c r="G20" i="12" s="1"/>
  <c r="H25" i="15"/>
  <c r="N25" i="15"/>
  <c r="K25" i="15"/>
  <c r="Q33" i="14"/>
  <c r="H33" i="14"/>
  <c r="K33" i="14"/>
  <c r="N33" i="14"/>
  <c r="Z28" i="13"/>
  <c r="W28" i="13"/>
  <c r="Q28" i="13"/>
  <c r="H28" i="13"/>
  <c r="T28" i="13"/>
  <c r="N28" i="13"/>
  <c r="K28" i="13"/>
  <c r="K24" i="9"/>
  <c r="M25" i="12"/>
  <c r="P42" i="1"/>
  <c r="G25" i="12"/>
  <c r="P25" i="12"/>
  <c r="J25" i="12"/>
  <c r="H25" i="11"/>
  <c r="K25" i="11"/>
  <c r="N25" i="11"/>
  <c r="Q25" i="11"/>
  <c r="M22" i="7"/>
  <c r="P22" i="7"/>
  <c r="J22" i="7"/>
  <c r="G22" i="7"/>
  <c r="Q24" i="9"/>
  <c r="N17" i="9" l="1"/>
  <c r="M39" i="1"/>
  <c r="M33" i="1"/>
  <c r="M34" i="1"/>
  <c r="M35" i="1"/>
  <c r="J33" i="1"/>
  <c r="G33" i="1"/>
  <c r="J34" i="1"/>
  <c r="G34" i="1"/>
  <c r="D40" i="1"/>
  <c r="M40" i="1" s="1"/>
  <c r="M32" i="1"/>
  <c r="J32" i="1"/>
  <c r="G32" i="1"/>
  <c r="M18" i="1"/>
  <c r="J18" i="1"/>
  <c r="G18" i="1"/>
  <c r="M17" i="1"/>
  <c r="J17" i="1"/>
  <c r="G17" i="1"/>
  <c r="M16" i="1"/>
  <c r="J16" i="1"/>
  <c r="G16" i="1"/>
  <c r="N24" i="9" l="1"/>
  <c r="N47" i="6" l="1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46" i="6"/>
  <c r="N29" i="6"/>
  <c r="N30" i="6"/>
  <c r="N31" i="6"/>
  <c r="N32" i="6"/>
  <c r="N33" i="6"/>
  <c r="N34" i="6"/>
  <c r="N35" i="6"/>
  <c r="N36" i="6"/>
  <c r="N37" i="6"/>
  <c r="N38" i="6"/>
  <c r="N39" i="6"/>
  <c r="N17" i="6"/>
  <c r="N18" i="6"/>
  <c r="N19" i="6"/>
  <c r="N20" i="6"/>
  <c r="N21" i="6"/>
  <c r="N22" i="6"/>
  <c r="N23" i="6"/>
  <c r="N24" i="6"/>
  <c r="N25" i="6"/>
  <c r="N26" i="6"/>
  <c r="N27" i="6"/>
  <c r="N28" i="6"/>
  <c r="N14" i="6"/>
  <c r="N15" i="6"/>
  <c r="N16" i="6"/>
  <c r="N11" i="6"/>
  <c r="N12" i="6"/>
  <c r="N13" i="6"/>
  <c r="N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10" i="6"/>
  <c r="M39" i="6"/>
  <c r="J39" i="6"/>
  <c r="M38" i="6"/>
  <c r="M37" i="6"/>
  <c r="M36" i="6"/>
  <c r="J35" i="6"/>
  <c r="M35" i="6" s="1"/>
  <c r="J33" i="6"/>
  <c r="M28" i="6"/>
  <c r="M27" i="6"/>
  <c r="J25" i="6"/>
  <c r="J24" i="6"/>
  <c r="J23" i="6"/>
  <c r="M22" i="6"/>
  <c r="M21" i="6"/>
  <c r="J21" i="6"/>
  <c r="J20" i="6"/>
  <c r="J19" i="6"/>
  <c r="J16" i="6"/>
  <c r="J11" i="6"/>
  <c r="K45" i="5"/>
  <c r="N45" i="5" s="1"/>
  <c r="O45" i="5" s="1"/>
  <c r="F45" i="5"/>
  <c r="K44" i="5"/>
  <c r="L44" i="5" s="1"/>
  <c r="I44" i="5"/>
  <c r="F44" i="5"/>
  <c r="O44" i="5" s="1"/>
  <c r="K43" i="5"/>
  <c r="F43" i="5"/>
  <c r="O43" i="5" s="1"/>
  <c r="K42" i="5"/>
  <c r="F42" i="5"/>
  <c r="L42" i="5" s="1"/>
  <c r="K41" i="5"/>
  <c r="I41" i="5"/>
  <c r="F41" i="5"/>
  <c r="O41" i="5" s="1"/>
  <c r="K40" i="5"/>
  <c r="L40" i="5" s="1"/>
  <c r="F40" i="5"/>
  <c r="K39" i="5"/>
  <c r="F39" i="5"/>
  <c r="L39" i="5" s="1"/>
  <c r="K38" i="5"/>
  <c r="I38" i="5"/>
  <c r="F38" i="5"/>
  <c r="O38" i="5" s="1"/>
  <c r="K37" i="5"/>
  <c r="L37" i="5" s="1"/>
  <c r="I37" i="5"/>
  <c r="F37" i="5"/>
  <c r="O37" i="5" s="1"/>
  <c r="K36" i="5"/>
  <c r="F36" i="5"/>
  <c r="O36" i="5" s="1"/>
  <c r="K35" i="5"/>
  <c r="F35" i="5"/>
  <c r="K34" i="5"/>
  <c r="I34" i="5"/>
  <c r="F34" i="5"/>
  <c r="O34" i="5" s="1"/>
  <c r="K33" i="5"/>
  <c r="N33" i="5" s="1"/>
  <c r="F33" i="5"/>
  <c r="K32" i="5"/>
  <c r="F32" i="5"/>
  <c r="L32" i="5" s="1"/>
  <c r="N31" i="5"/>
  <c r="F31" i="5"/>
  <c r="N30" i="5"/>
  <c r="K30" i="5"/>
  <c r="F30" i="5"/>
  <c r="N29" i="5"/>
  <c r="F29" i="5"/>
  <c r="I29" i="5" s="1"/>
  <c r="N28" i="5"/>
  <c r="L28" i="5"/>
  <c r="I28" i="5"/>
  <c r="F28" i="5"/>
  <c r="O28" i="5" s="1"/>
  <c r="N27" i="5"/>
  <c r="L27" i="5"/>
  <c r="I27" i="5"/>
  <c r="F27" i="5"/>
  <c r="O27" i="5" s="1"/>
  <c r="L26" i="5"/>
  <c r="I26" i="5"/>
  <c r="F26" i="5"/>
  <c r="O26" i="5" s="1"/>
  <c r="L25" i="5"/>
  <c r="I25" i="5"/>
  <c r="F25" i="5"/>
  <c r="O25" i="5" s="1"/>
  <c r="O24" i="5"/>
  <c r="K24" i="5"/>
  <c r="L24" i="5" s="1"/>
  <c r="I24" i="5"/>
  <c r="K23" i="5"/>
  <c r="N23" i="5" s="1"/>
  <c r="F23" i="5"/>
  <c r="L23" i="5" s="1"/>
  <c r="K21" i="5"/>
  <c r="F21" i="5"/>
  <c r="I21" i="5" s="1"/>
  <c r="O20" i="5"/>
  <c r="K20" i="5"/>
  <c r="F20" i="5"/>
  <c r="I20" i="5" s="1"/>
  <c r="K19" i="5"/>
  <c r="N19" i="5" s="1"/>
  <c r="O19" i="5" s="1"/>
  <c r="I19" i="5"/>
  <c r="F19" i="5"/>
  <c r="N18" i="5"/>
  <c r="L18" i="5"/>
  <c r="I18" i="5"/>
  <c r="F18" i="5"/>
  <c r="K17" i="5"/>
  <c r="N17" i="5" s="1"/>
  <c r="F17" i="5"/>
  <c r="K16" i="5"/>
  <c r="N16" i="5" s="1"/>
  <c r="F16" i="5"/>
  <c r="I16" i="5" s="1"/>
  <c r="N15" i="5"/>
  <c r="K15" i="5"/>
  <c r="F15" i="5"/>
  <c r="L15" i="5" s="1"/>
  <c r="K14" i="5"/>
  <c r="L14" i="5" s="1"/>
  <c r="I14" i="5"/>
  <c r="F14" i="5"/>
  <c r="K13" i="5"/>
  <c r="N13" i="5" s="1"/>
  <c r="F13" i="5"/>
  <c r="K12" i="5"/>
  <c r="F12" i="5"/>
  <c r="O12" i="5" s="1"/>
  <c r="N11" i="5"/>
  <c r="F11" i="5"/>
  <c r="O11" i="5" s="1"/>
  <c r="N10" i="5"/>
  <c r="F10" i="5"/>
  <c r="L10" i="5" s="1"/>
  <c r="F9" i="5"/>
  <c r="L9" i="5" s="1"/>
  <c r="F8" i="5"/>
  <c r="O8" i="5" s="1"/>
  <c r="F7" i="5"/>
  <c r="O7" i="5" s="1"/>
  <c r="O6" i="5"/>
  <c r="F6" i="5"/>
  <c r="L5" i="5"/>
  <c r="I5" i="5"/>
  <c r="F5" i="5"/>
  <c r="O5" i="5" s="1"/>
  <c r="M46" i="4"/>
  <c r="N46" i="4" s="1"/>
  <c r="J46" i="4"/>
  <c r="K46" i="4" s="1"/>
  <c r="H46" i="4"/>
  <c r="E46" i="4"/>
  <c r="N45" i="4"/>
  <c r="J45" i="4"/>
  <c r="K45" i="4" s="1"/>
  <c r="H45" i="4"/>
  <c r="E45" i="4"/>
  <c r="N44" i="4"/>
  <c r="J44" i="4"/>
  <c r="K44" i="4" s="1"/>
  <c r="H44" i="4"/>
  <c r="E44" i="4"/>
  <c r="N43" i="4"/>
  <c r="J43" i="4"/>
  <c r="K43" i="4" s="1"/>
  <c r="H43" i="4"/>
  <c r="E43" i="4"/>
  <c r="M42" i="4"/>
  <c r="N42" i="4" s="1"/>
  <c r="J42" i="4"/>
  <c r="K42" i="4" s="1"/>
  <c r="H42" i="4"/>
  <c r="E42" i="4"/>
  <c r="M41" i="4"/>
  <c r="N41" i="4" s="1"/>
  <c r="J41" i="4"/>
  <c r="K41" i="4" s="1"/>
  <c r="H41" i="4"/>
  <c r="E41" i="4"/>
  <c r="M40" i="4"/>
  <c r="N40" i="4" s="1"/>
  <c r="J40" i="4"/>
  <c r="K40" i="4" s="1"/>
  <c r="H40" i="4"/>
  <c r="E40" i="4"/>
  <c r="M39" i="4"/>
  <c r="N39" i="4" s="1"/>
  <c r="J39" i="4"/>
  <c r="K39" i="4" s="1"/>
  <c r="H39" i="4"/>
  <c r="M38" i="4"/>
  <c r="N38" i="4" s="1"/>
  <c r="J38" i="4"/>
  <c r="K38" i="4" s="1"/>
  <c r="H38" i="4"/>
  <c r="E38" i="4"/>
  <c r="M37" i="4"/>
  <c r="N37" i="4" s="1"/>
  <c r="J37" i="4"/>
  <c r="K37" i="4" s="1"/>
  <c r="H37" i="4"/>
  <c r="E37" i="4"/>
  <c r="M36" i="4"/>
  <c r="N36" i="4" s="1"/>
  <c r="J36" i="4"/>
  <c r="K36" i="4" s="1"/>
  <c r="H36" i="4"/>
  <c r="E36" i="4"/>
  <c r="M35" i="4"/>
  <c r="N35" i="4" s="1"/>
  <c r="J35" i="4"/>
  <c r="K35" i="4" s="1"/>
  <c r="H35" i="4"/>
  <c r="E35" i="4"/>
  <c r="M34" i="4"/>
  <c r="N34" i="4" s="1"/>
  <c r="J34" i="4"/>
  <c r="K34" i="4" s="1"/>
  <c r="H34" i="4"/>
  <c r="E34" i="4"/>
  <c r="M33" i="4"/>
  <c r="N33" i="4" s="1"/>
  <c r="J33" i="4"/>
  <c r="K33" i="4" s="1"/>
  <c r="E33" i="4"/>
  <c r="M32" i="4"/>
  <c r="N32" i="4" s="1"/>
  <c r="J32" i="4"/>
  <c r="K32" i="4" s="1"/>
  <c r="E32" i="4"/>
  <c r="N31" i="4"/>
  <c r="J31" i="4"/>
  <c r="K31" i="4" s="1"/>
  <c r="H31" i="4"/>
  <c r="E31" i="4"/>
  <c r="M30" i="4"/>
  <c r="N30" i="4" s="1"/>
  <c r="J30" i="4"/>
  <c r="K30" i="4" s="1"/>
  <c r="H30" i="4"/>
  <c r="E30" i="4"/>
  <c r="N29" i="4"/>
  <c r="J29" i="4"/>
  <c r="K29" i="4" s="1"/>
  <c r="H29" i="4"/>
  <c r="E29" i="4"/>
  <c r="M28" i="4"/>
  <c r="N28" i="4" s="1"/>
  <c r="J28" i="4"/>
  <c r="K28" i="4" s="1"/>
  <c r="H28" i="4"/>
  <c r="E28" i="4"/>
  <c r="M27" i="4"/>
  <c r="N27" i="4" s="1"/>
  <c r="J27" i="4"/>
  <c r="K27" i="4" s="1"/>
  <c r="H27" i="4"/>
  <c r="E27" i="4"/>
  <c r="M26" i="4"/>
  <c r="N26" i="4" s="1"/>
  <c r="J26" i="4"/>
  <c r="K26" i="4" s="1"/>
  <c r="H26" i="4"/>
  <c r="E26" i="4"/>
  <c r="M25" i="4"/>
  <c r="N25" i="4" s="1"/>
  <c r="J25" i="4"/>
  <c r="K25" i="4" s="1"/>
  <c r="H25" i="4"/>
  <c r="E25" i="4"/>
  <c r="M24" i="4"/>
  <c r="N24" i="4" s="1"/>
  <c r="J24" i="4"/>
  <c r="K24" i="4" s="1"/>
  <c r="H24" i="4"/>
  <c r="E24" i="4"/>
  <c r="M23" i="4"/>
  <c r="N23" i="4" s="1"/>
  <c r="J23" i="4"/>
  <c r="K23" i="4" s="1"/>
  <c r="H23" i="4"/>
  <c r="E23" i="4"/>
  <c r="N22" i="4"/>
  <c r="J22" i="4"/>
  <c r="K22" i="4" s="1"/>
  <c r="H22" i="4"/>
  <c r="E22" i="4"/>
  <c r="N21" i="4"/>
  <c r="K21" i="4"/>
  <c r="J21" i="4"/>
  <c r="H21" i="4"/>
  <c r="E21" i="4"/>
  <c r="N20" i="4"/>
  <c r="J20" i="4"/>
  <c r="K20" i="4" s="1"/>
  <c r="H20" i="4"/>
  <c r="E20" i="4"/>
  <c r="N19" i="4"/>
  <c r="J19" i="4"/>
  <c r="K19" i="4" s="1"/>
  <c r="H19" i="4"/>
  <c r="E19" i="4"/>
  <c r="M18" i="4"/>
  <c r="N18" i="4" s="1"/>
  <c r="J18" i="4"/>
  <c r="K18" i="4" s="1"/>
  <c r="H18" i="4"/>
  <c r="E18" i="4"/>
  <c r="M17" i="4"/>
  <c r="N17" i="4" s="1"/>
  <c r="J17" i="4"/>
  <c r="K17" i="4" s="1"/>
  <c r="H17" i="4"/>
  <c r="E17" i="4"/>
  <c r="M16" i="4"/>
  <c r="N16" i="4" s="1"/>
  <c r="J16" i="4"/>
  <c r="K16" i="4" s="1"/>
  <c r="H16" i="4"/>
  <c r="E16" i="4"/>
  <c r="N15" i="4"/>
  <c r="M15" i="4"/>
  <c r="J15" i="4"/>
  <c r="K15" i="4" s="1"/>
  <c r="H15" i="4"/>
  <c r="E15" i="4"/>
  <c r="M14" i="4"/>
  <c r="N14" i="4" s="1"/>
  <c r="J14" i="4"/>
  <c r="K14" i="4" s="1"/>
  <c r="H14" i="4"/>
  <c r="E14" i="4"/>
  <c r="M13" i="4"/>
  <c r="N13" i="4" s="1"/>
  <c r="J13" i="4"/>
  <c r="K13" i="4" s="1"/>
  <c r="H13" i="4"/>
  <c r="E13" i="4"/>
  <c r="M12" i="4"/>
  <c r="N12" i="4" s="1"/>
  <c r="K12" i="4"/>
  <c r="J12" i="4"/>
  <c r="H12" i="4"/>
  <c r="E12" i="4"/>
  <c r="K11" i="4"/>
  <c r="E11" i="4"/>
  <c r="E10" i="4"/>
  <c r="H10" i="4" s="1"/>
  <c r="E9" i="4"/>
  <c r="N8" i="4"/>
  <c r="E7" i="4"/>
  <c r="N7" i="4" s="1"/>
  <c r="E6" i="4"/>
  <c r="K6" i="4" s="1"/>
  <c r="L45" i="3"/>
  <c r="I45" i="3"/>
  <c r="F45" i="3"/>
  <c r="O45" i="3" s="1"/>
  <c r="O44" i="3"/>
  <c r="L44" i="3"/>
  <c r="I44" i="3"/>
  <c r="F44" i="3"/>
  <c r="O43" i="3"/>
  <c r="L43" i="3"/>
  <c r="I43" i="3"/>
  <c r="F43" i="3"/>
  <c r="O42" i="3"/>
  <c r="L42" i="3"/>
  <c r="I42" i="3"/>
  <c r="F42" i="3"/>
  <c r="K41" i="3"/>
  <c r="L41" i="3" s="1"/>
  <c r="I41" i="3"/>
  <c r="F41" i="3"/>
  <c r="O41" i="3" s="1"/>
  <c r="O40" i="3"/>
  <c r="L40" i="3"/>
  <c r="K40" i="3"/>
  <c r="I40" i="3"/>
  <c r="F40" i="3"/>
  <c r="K39" i="3"/>
  <c r="L39" i="3" s="1"/>
  <c r="I39" i="3"/>
  <c r="F39" i="3"/>
  <c r="O39" i="3" s="1"/>
  <c r="K38" i="3"/>
  <c r="L38" i="3" s="1"/>
  <c r="I38" i="3"/>
  <c r="F38" i="3"/>
  <c r="O38" i="3" s="1"/>
  <c r="K37" i="3"/>
  <c r="L37" i="3" s="1"/>
  <c r="I37" i="3"/>
  <c r="F37" i="3"/>
  <c r="O37" i="3" s="1"/>
  <c r="O36" i="3"/>
  <c r="L36" i="3"/>
  <c r="I36" i="3"/>
  <c r="F36" i="3"/>
  <c r="L35" i="3"/>
  <c r="K35" i="3"/>
  <c r="I35" i="3"/>
  <c r="F35" i="3"/>
  <c r="O35" i="3" s="1"/>
  <c r="O31" i="3"/>
  <c r="F31" i="3"/>
  <c r="I31" i="3" s="1"/>
  <c r="O30" i="3"/>
  <c r="L30" i="3"/>
  <c r="F30" i="3"/>
  <c r="I30" i="3" s="1"/>
  <c r="O29" i="3"/>
  <c r="L29" i="3"/>
  <c r="F29" i="3"/>
  <c r="I29" i="3" s="1"/>
  <c r="O28" i="3"/>
  <c r="L28" i="3"/>
  <c r="F28" i="3"/>
  <c r="I28" i="3" s="1"/>
  <c r="O27" i="3"/>
  <c r="L27" i="3"/>
  <c r="F27" i="3"/>
  <c r="I27" i="3" s="1"/>
  <c r="O26" i="3"/>
  <c r="L26" i="3"/>
  <c r="F26" i="3"/>
  <c r="I26" i="3" s="1"/>
  <c r="O25" i="3"/>
  <c r="L25" i="3"/>
  <c r="F25" i="3"/>
  <c r="I25" i="3" s="1"/>
  <c r="O24" i="3"/>
  <c r="L24" i="3"/>
  <c r="F24" i="3"/>
  <c r="I24" i="3" s="1"/>
  <c r="N23" i="3"/>
  <c r="L23" i="3"/>
  <c r="F23" i="3"/>
  <c r="I23" i="3" s="1"/>
  <c r="A23" i="3"/>
  <c r="O22" i="3"/>
  <c r="L22" i="3"/>
  <c r="I22" i="3"/>
  <c r="F22" i="3"/>
  <c r="A22" i="3"/>
  <c r="O21" i="3"/>
  <c r="L21" i="3"/>
  <c r="F21" i="3"/>
  <c r="I21" i="3" s="1"/>
  <c r="O20" i="3"/>
  <c r="L20" i="3"/>
  <c r="F20" i="3"/>
  <c r="I20" i="3" s="1"/>
  <c r="N19" i="3"/>
  <c r="O19" i="3" s="1"/>
  <c r="L19" i="3"/>
  <c r="F19" i="3"/>
  <c r="I19" i="3" s="1"/>
  <c r="N18" i="3"/>
  <c r="L18" i="3"/>
  <c r="F18" i="3"/>
  <c r="I18" i="3" s="1"/>
  <c r="L17" i="3"/>
  <c r="F17" i="3"/>
  <c r="O17" i="3" s="1"/>
  <c r="L16" i="3"/>
  <c r="F16" i="3"/>
  <c r="I16" i="3" s="1"/>
  <c r="L15" i="3"/>
  <c r="F15" i="3"/>
  <c r="I15" i="3" s="1"/>
  <c r="L14" i="3"/>
  <c r="F14" i="3"/>
  <c r="I14" i="3" s="1"/>
  <c r="L13" i="3"/>
  <c r="F13" i="3"/>
  <c r="I13" i="3" s="1"/>
  <c r="L12" i="3"/>
  <c r="F12" i="3"/>
  <c r="I12" i="3" s="1"/>
  <c r="L11" i="3"/>
  <c r="F11" i="3"/>
  <c r="O11" i="3" s="1"/>
  <c r="F10" i="3"/>
  <c r="L10" i="3" s="1"/>
  <c r="F9" i="3"/>
  <c r="I9" i="3" s="1"/>
  <c r="F8" i="3"/>
  <c r="L8" i="3" s="1"/>
  <c r="M21" i="2"/>
  <c r="J21" i="2"/>
  <c r="G21" i="2"/>
  <c r="M20" i="2"/>
  <c r="J20" i="2"/>
  <c r="G20" i="2"/>
  <c r="M19" i="2"/>
  <c r="J19" i="2"/>
  <c r="G19" i="2"/>
  <c r="M16" i="2"/>
  <c r="J16" i="2"/>
  <c r="G16" i="2"/>
  <c r="M15" i="2"/>
  <c r="J15" i="2"/>
  <c r="G15" i="2"/>
  <c r="M14" i="2"/>
  <c r="J14" i="2"/>
  <c r="G14" i="2"/>
  <c r="M10" i="2"/>
  <c r="J10" i="2"/>
  <c r="G10" i="2"/>
  <c r="P10" i="2" s="1"/>
  <c r="M9" i="2"/>
  <c r="J9" i="2"/>
  <c r="G9" i="2"/>
  <c r="P9" i="2" s="1"/>
  <c r="M8" i="2"/>
  <c r="J8" i="2"/>
  <c r="G8" i="2"/>
  <c r="P8" i="2" s="1"/>
  <c r="M6" i="2"/>
  <c r="J6" i="2"/>
  <c r="G6" i="2"/>
  <c r="P38" i="2" l="1"/>
  <c r="I12" i="5"/>
  <c r="O31" i="5"/>
  <c r="L33" i="5"/>
  <c r="I8" i="5"/>
  <c r="L11" i="5"/>
  <c r="O16" i="5"/>
  <c r="O18" i="5"/>
  <c r="L19" i="5"/>
  <c r="I31" i="5"/>
  <c r="L35" i="5"/>
  <c r="L36" i="5"/>
  <c r="N40" i="5"/>
  <c r="L43" i="5"/>
  <c r="L45" i="5"/>
  <c r="I11" i="5"/>
  <c r="O30" i="5"/>
  <c r="L8" i="5"/>
  <c r="L13" i="5"/>
  <c r="L17" i="5"/>
  <c r="L20" i="5"/>
  <c r="L21" i="5"/>
  <c r="L30" i="5"/>
  <c r="L31" i="5"/>
  <c r="O33" i="5"/>
  <c r="O40" i="5"/>
  <c r="I45" i="5"/>
  <c r="N87" i="6"/>
  <c r="H40" i="6"/>
  <c r="K40" i="6"/>
  <c r="M25" i="6"/>
  <c r="M33" i="6"/>
  <c r="O29" i="5"/>
  <c r="O39" i="5"/>
  <c r="O42" i="5"/>
  <c r="O10" i="5"/>
  <c r="O46" i="5" s="1"/>
  <c r="O13" i="5"/>
  <c r="I15" i="5"/>
  <c r="L16" i="5"/>
  <c r="O17" i="5"/>
  <c r="I39" i="5"/>
  <c r="I10" i="5"/>
  <c r="L12" i="5"/>
  <c r="N14" i="5"/>
  <c r="O14" i="5" s="1"/>
  <c r="N21" i="5"/>
  <c r="O21" i="5" s="1"/>
  <c r="L29" i="5"/>
  <c r="I30" i="5"/>
  <c r="I33" i="5"/>
  <c r="L34" i="5"/>
  <c r="I36" i="5"/>
  <c r="L38" i="5"/>
  <c r="I40" i="5"/>
  <c r="L41" i="5"/>
  <c r="I43" i="5"/>
  <c r="O32" i="5"/>
  <c r="O35" i="5"/>
  <c r="I13" i="5"/>
  <c r="O15" i="5"/>
  <c r="I17" i="5"/>
  <c r="I23" i="5"/>
  <c r="O23" i="5"/>
  <c r="I32" i="5"/>
  <c r="I35" i="5"/>
  <c r="I42" i="5"/>
  <c r="N6" i="4"/>
  <c r="N49" i="4" s="1"/>
  <c r="H49" i="4"/>
  <c r="K49" i="4"/>
  <c r="O18" i="3"/>
  <c r="O23" i="3"/>
  <c r="I8" i="3"/>
  <c r="I11" i="3"/>
  <c r="I17" i="3"/>
  <c r="L9" i="3"/>
  <c r="O8" i="3"/>
  <c r="O9" i="3"/>
  <c r="O10" i="3"/>
  <c r="O12" i="3"/>
  <c r="O13" i="3"/>
  <c r="O14" i="3"/>
  <c r="O15" i="3"/>
  <c r="O16" i="3"/>
  <c r="L31" i="3"/>
  <c r="I10" i="3"/>
  <c r="J38" i="2"/>
  <c r="M38" i="2"/>
  <c r="G38" i="2"/>
  <c r="L46" i="5" l="1"/>
  <c r="I46" i="5"/>
  <c r="N40" i="6"/>
  <c r="N89" i="6" s="1"/>
  <c r="M8" i="1"/>
  <c r="M9" i="1"/>
  <c r="M10" i="1"/>
  <c r="M11" i="1"/>
  <c r="M12" i="1"/>
  <c r="M13" i="1"/>
  <c r="M21" i="1"/>
  <c r="M22" i="1"/>
  <c r="M23" i="1"/>
  <c r="M26" i="1"/>
  <c r="M27" i="1"/>
  <c r="M28" i="1"/>
  <c r="M36" i="1"/>
  <c r="J13" i="1"/>
  <c r="G9" i="1"/>
  <c r="G10" i="1"/>
  <c r="G11" i="1"/>
  <c r="G12" i="1"/>
  <c r="G13" i="1"/>
  <c r="J9" i="1"/>
  <c r="J10" i="1"/>
  <c r="J11" i="1"/>
  <c r="J12" i="1"/>
  <c r="J36" i="1"/>
  <c r="G36" i="1"/>
  <c r="J28" i="1"/>
  <c r="G28" i="1"/>
  <c r="J27" i="1"/>
  <c r="G27" i="1"/>
  <c r="J26" i="1"/>
  <c r="G26" i="1"/>
  <c r="J23" i="1"/>
  <c r="G23" i="1"/>
  <c r="J22" i="1"/>
  <c r="G22" i="1"/>
  <c r="J21" i="1"/>
  <c r="G21" i="1"/>
  <c r="J8" i="1"/>
  <c r="G8" i="1"/>
  <c r="M6" i="1"/>
  <c r="J6" i="1"/>
  <c r="G6" i="1"/>
  <c r="M42" i="1" l="1"/>
  <c r="J42" i="1"/>
  <c r="G42" i="1"/>
</calcChain>
</file>

<file path=xl/sharedStrings.xml><?xml version="1.0" encoding="utf-8"?>
<sst xmlns="http://schemas.openxmlformats.org/spreadsheetml/2006/main" count="930" uniqueCount="569">
  <si>
    <t xml:space="preserve">LITE </t>
  </si>
  <si>
    <t>STANDARD</t>
  </si>
  <si>
    <t>Brand</t>
  </si>
  <si>
    <t xml:space="preserve">Unit Cost </t>
  </si>
  <si>
    <t>Quantity</t>
  </si>
  <si>
    <t>Total cost</t>
  </si>
  <si>
    <t>BROILER PRODUCTION</t>
  </si>
  <si>
    <t xml:space="preserve">FEED </t>
  </si>
  <si>
    <t>3 litres antidrown</t>
  </si>
  <si>
    <t>6-8 litres</t>
  </si>
  <si>
    <t>10-12 litres</t>
  </si>
  <si>
    <t xml:space="preserve">3kg </t>
  </si>
  <si>
    <t>6kgs</t>
  </si>
  <si>
    <t>10kgs</t>
  </si>
  <si>
    <t>Infra red lamps</t>
  </si>
  <si>
    <t>Brooder</t>
  </si>
  <si>
    <t>Mesh wire</t>
  </si>
  <si>
    <t>Roofing</t>
  </si>
  <si>
    <t>TOTAL COST</t>
  </si>
  <si>
    <t>Aliseryl (antibiotic)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</si>
  <si>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</si>
  <si>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MICROBIZ TOP 20 COSTINGS</t>
  </si>
  <si>
    <t>CATEGORY</t>
  </si>
  <si>
    <t>SUBCATEGORY</t>
  </si>
  <si>
    <t>BEAUTY ,HAIR&amp; COSMETICS</t>
  </si>
  <si>
    <t>FULL HOUSE</t>
  </si>
  <si>
    <t>Accessories and Equipment</t>
  </si>
  <si>
    <t>Selling Price</t>
  </si>
  <si>
    <t>BARBER,BUSH LOCS</t>
  </si>
  <si>
    <t>Barber station (with mirrior)</t>
  </si>
  <si>
    <t xml:space="preserve">Chair </t>
  </si>
  <si>
    <t>Mirror</t>
  </si>
  <si>
    <t>Electric  hairclipper</t>
  </si>
  <si>
    <t>wahl</t>
  </si>
  <si>
    <t>Reachable hairclipper</t>
  </si>
  <si>
    <t>Blower</t>
  </si>
  <si>
    <t>Sokany</t>
  </si>
  <si>
    <t>Scissors set</t>
  </si>
  <si>
    <t>Comb set ( rat tail) set</t>
  </si>
  <si>
    <t>Comb set ( wide tooth) set</t>
  </si>
  <si>
    <t>Bush sponse</t>
  </si>
  <si>
    <t>Neck duster</t>
  </si>
  <si>
    <t>Racket comb</t>
  </si>
  <si>
    <t>Wave brush</t>
  </si>
  <si>
    <t xml:space="preserve">Jack blade </t>
  </si>
  <si>
    <t>Mixing bowl</t>
  </si>
  <si>
    <t>barber cape</t>
  </si>
  <si>
    <t>Towel</t>
  </si>
  <si>
    <t>Finger brush</t>
  </si>
  <si>
    <t>Uv sterliser BOX</t>
  </si>
  <si>
    <t>Crotchet needle set</t>
  </si>
  <si>
    <t>Hand mirror</t>
  </si>
  <si>
    <t>Spirit bottle</t>
  </si>
  <si>
    <t>SMOTHENER  ?</t>
  </si>
  <si>
    <t>APRON    ?</t>
  </si>
  <si>
    <t>Consumables</t>
  </si>
  <si>
    <t>Shaving cream</t>
  </si>
  <si>
    <t>Gloves</t>
  </si>
  <si>
    <t>After shave</t>
  </si>
  <si>
    <t>Ethanol</t>
  </si>
  <si>
    <t xml:space="preserve">Inector liquid  black dye </t>
  </si>
  <si>
    <t xml:space="preserve">Dematol </t>
  </si>
  <si>
    <t>Razor blade</t>
  </si>
  <si>
    <t>Hairclipper Oil</t>
  </si>
  <si>
    <t>Locking gel</t>
  </si>
  <si>
    <t>shampoo set</t>
  </si>
  <si>
    <t>Mousse spray</t>
  </si>
  <si>
    <t>TOTAL</t>
  </si>
  <si>
    <t>BRAIDING ,WEAVING</t>
  </si>
  <si>
    <t>CHAIR/STOOL</t>
  </si>
  <si>
    <t>WIG INSTALLATION</t>
  </si>
  <si>
    <t>SAL0ON STATION ( with mirror,usd ports)</t>
  </si>
  <si>
    <t>HAIR DRAYER</t>
  </si>
  <si>
    <t>WASHBISIN 9(MEDIUAM)</t>
  </si>
  <si>
    <t>BRAID RACK (SEPARATER)</t>
  </si>
  <si>
    <t>Training (HARARE ONLY)</t>
  </si>
  <si>
    <t>Thread</t>
  </si>
  <si>
    <t>Needle set</t>
  </si>
  <si>
    <t>Crochet needle</t>
  </si>
  <si>
    <t>Scissors</t>
  </si>
  <si>
    <t>Flat iron</t>
  </si>
  <si>
    <t>curling iron</t>
  </si>
  <si>
    <t>hot comb</t>
  </si>
  <si>
    <t>hair straigtner</t>
  </si>
  <si>
    <t>Clippers set</t>
  </si>
  <si>
    <t>Wig brush set</t>
  </si>
  <si>
    <t>Spray bottle</t>
  </si>
  <si>
    <t>Elastic band</t>
  </si>
  <si>
    <t>Edge brush</t>
  </si>
  <si>
    <t>Wig cap</t>
  </si>
  <si>
    <t>Wig head mannequin</t>
  </si>
  <si>
    <t>towels</t>
  </si>
  <si>
    <t>Apron plain</t>
  </si>
  <si>
    <t>Bonding glue</t>
  </si>
  <si>
    <t>Shampos set</t>
  </si>
  <si>
    <t>Conditioner</t>
  </si>
  <si>
    <t>loking gel</t>
  </si>
  <si>
    <t>styling foam</t>
  </si>
  <si>
    <t>edge control</t>
  </si>
  <si>
    <t>hair oil</t>
  </si>
  <si>
    <t>holding spray</t>
  </si>
  <si>
    <t>heat protectant spry</t>
  </si>
  <si>
    <t>lace tint spary</t>
  </si>
  <si>
    <t>hair food</t>
  </si>
  <si>
    <t>selling price</t>
  </si>
  <si>
    <t>NAILS</t>
  </si>
  <si>
    <t>TRAINING</t>
  </si>
  <si>
    <t>Delux station</t>
  </si>
  <si>
    <t>Delux chair</t>
  </si>
  <si>
    <t>FORDABLE TABEL</t>
  </si>
  <si>
    <t>FORDABLE CHAIRS</t>
  </si>
  <si>
    <t xml:space="preserve">Nail lamb </t>
  </si>
  <si>
    <t>UV light</t>
  </si>
  <si>
    <t>Acrylic brushes set</t>
  </si>
  <si>
    <t>Buffer</t>
  </si>
  <si>
    <t>Filers set</t>
  </si>
  <si>
    <t>bowl</t>
  </si>
  <si>
    <t>cuticle set(twizzer, nail cutter</t>
  </si>
  <si>
    <t>foot spa</t>
  </si>
  <si>
    <t>Dril set</t>
  </si>
  <si>
    <t>Nails box</t>
  </si>
  <si>
    <t>Nail box big</t>
  </si>
  <si>
    <t>Consumable</t>
  </si>
  <si>
    <t xml:space="preserve">cotton 1kg </t>
  </si>
  <si>
    <t>Regular polish</t>
  </si>
  <si>
    <t>??????</t>
  </si>
  <si>
    <t>Gel polisher</t>
  </si>
  <si>
    <t>Color clear</t>
  </si>
  <si>
    <t>Basecoat</t>
  </si>
  <si>
    <t>top coat</t>
  </si>
  <si>
    <t xml:space="preserve"> Printed Stick on  finger nails</t>
  </si>
  <si>
    <t>Plain stick on  finger nails</t>
  </si>
  <si>
    <t>printed stick on toes nails</t>
  </si>
  <si>
    <t>Plain stick on  toes nails</t>
  </si>
  <si>
    <t>Glass tips</t>
  </si>
  <si>
    <t>White tips</t>
  </si>
  <si>
    <t>?????</t>
  </si>
  <si>
    <t>Nail glue set</t>
  </si>
  <si>
    <t>Nail polish remover/acertion 1litre</t>
  </si>
  <si>
    <t>Acrylic liquid   1 litre</t>
  </si>
  <si>
    <t>Acrylic powders(colors)asorted set</t>
  </si>
  <si>
    <t>Naturals  nails box</t>
  </si>
  <si>
    <t>Stickers pac</t>
  </si>
  <si>
    <t>Stones pac</t>
  </si>
  <si>
    <t>Towels(Face)</t>
  </si>
  <si>
    <t>Magnolia/baby oil</t>
  </si>
  <si>
    <t>MAKE-UP</t>
  </si>
  <si>
    <t>Make-up box</t>
  </si>
  <si>
    <t>Blade box</t>
  </si>
  <si>
    <t>Brushes</t>
  </si>
  <si>
    <t>Training</t>
  </si>
  <si>
    <t>Fan</t>
  </si>
  <si>
    <t>Consumers</t>
  </si>
  <si>
    <t>lip stick</t>
  </si>
  <si>
    <t>Lip gloss set</t>
  </si>
  <si>
    <t xml:space="preserve">Eye brow pencils </t>
  </si>
  <si>
    <t>Eye Liners</t>
  </si>
  <si>
    <t>Lip liners</t>
  </si>
  <si>
    <t>Eye shadow</t>
  </si>
  <si>
    <t>Eye lashes(singles )  different  sizes</t>
  </si>
  <si>
    <t>Eye lashes belts) different size</t>
  </si>
  <si>
    <t>Lash glue</t>
  </si>
  <si>
    <t>Mascara</t>
  </si>
  <si>
    <t>Foundation( assorted)</t>
  </si>
  <si>
    <t>mary kay</t>
  </si>
  <si>
    <t>Face Powder</t>
  </si>
  <si>
    <t xml:space="preserve">kiss beauty </t>
  </si>
  <si>
    <t>Sponge</t>
  </si>
  <si>
    <t>Make-up  spritz</t>
  </si>
  <si>
    <t>Facial wipes</t>
  </si>
  <si>
    <t>Banana powder</t>
  </si>
  <si>
    <t>Concelears</t>
  </si>
  <si>
    <t>Primers</t>
  </si>
  <si>
    <t>Blushes</t>
  </si>
  <si>
    <t>Equipment</t>
  </si>
  <si>
    <t xml:space="preserve"> </t>
  </si>
  <si>
    <t>TRANSPORT SMALL TRUCK</t>
  </si>
  <si>
    <t>GOLD PACKAGAEGE 230</t>
  </si>
  <si>
    <t>INVOICE $1700</t>
  </si>
  <si>
    <t>Transport</t>
  </si>
  <si>
    <t>Birds</t>
  </si>
  <si>
    <t>Description</t>
  </si>
  <si>
    <t>Day Old Chicks</t>
  </si>
  <si>
    <t>25kg</t>
  </si>
  <si>
    <t>50kg</t>
  </si>
  <si>
    <t xml:space="preserve">Starter crumbs  </t>
  </si>
  <si>
    <t>Product</t>
  </si>
  <si>
    <t>Margin</t>
  </si>
  <si>
    <t xml:space="preserve">Starter crumbs </t>
  </si>
  <si>
    <t xml:space="preserve">Grower pellets </t>
  </si>
  <si>
    <t xml:space="preserve">Finisher Pellets </t>
  </si>
  <si>
    <t>100g</t>
  </si>
  <si>
    <t>250g</t>
  </si>
  <si>
    <t xml:space="preserve">Stress pack </t>
  </si>
  <si>
    <t xml:space="preserve">Virukill (disinfectant) </t>
  </si>
  <si>
    <t>Plastic Feeders</t>
  </si>
  <si>
    <t xml:space="preserve">Plastic Drinkers </t>
  </si>
  <si>
    <t>Chicken coup complete</t>
  </si>
  <si>
    <t>Wooden Cabin</t>
  </si>
  <si>
    <t>Housing  and Accessories</t>
  </si>
  <si>
    <t>Cabin from source to Courier</t>
  </si>
  <si>
    <t xml:space="preserve">Courier charge </t>
  </si>
  <si>
    <t>3l</t>
  </si>
  <si>
    <t>8l</t>
  </si>
  <si>
    <t>12l</t>
  </si>
  <si>
    <t xml:space="preserve">Product </t>
  </si>
  <si>
    <t xml:space="preserve">Starter Crumbs </t>
  </si>
  <si>
    <t xml:space="preserve">Grower Crumbs </t>
  </si>
  <si>
    <t xml:space="preserve">Layer Mash Concetrate </t>
  </si>
  <si>
    <t>Gain</t>
  </si>
  <si>
    <t>Farm &amp; City</t>
  </si>
  <si>
    <t>Supplier                           1)</t>
  </si>
  <si>
    <t xml:space="preserve">                                            2)</t>
  </si>
  <si>
    <t>8L</t>
  </si>
  <si>
    <t>12L</t>
  </si>
  <si>
    <t>Drinkers</t>
  </si>
  <si>
    <t>Feeders</t>
  </si>
  <si>
    <t>Incubators</t>
  </si>
  <si>
    <t>216 Egg Capacity</t>
  </si>
  <si>
    <t>576 Egg Capacity</t>
  </si>
  <si>
    <t>1700 Egg Capacity</t>
  </si>
  <si>
    <t>Automatic Wooden</t>
  </si>
  <si>
    <t>Automatic Metal Insulated</t>
  </si>
  <si>
    <t>Automatic Metal insulated</t>
  </si>
  <si>
    <t>MCPB001</t>
  </si>
  <si>
    <t xml:space="preserve">SUB CATERGORY   </t>
  </si>
  <si>
    <t>: CHICKEN PROJECT</t>
  </si>
  <si>
    <t>: BROILER</t>
  </si>
  <si>
    <t xml:space="preserve">CATERGORY             </t>
  </si>
  <si>
    <t>MCPB002</t>
  </si>
  <si>
    <t>MCPB003</t>
  </si>
  <si>
    <t>MCPB004</t>
  </si>
  <si>
    <t>MCPB005</t>
  </si>
  <si>
    <t>MCPB006</t>
  </si>
  <si>
    <t>MCPB007</t>
  </si>
  <si>
    <t>MCPB008</t>
  </si>
  <si>
    <t>MCPB009</t>
  </si>
  <si>
    <t>LAYERS PRODUCTION</t>
  </si>
  <si>
    <t>: LAYERS</t>
  </si>
  <si>
    <t>MCPL</t>
  </si>
  <si>
    <t>MCPB010</t>
  </si>
  <si>
    <t>MCPB011</t>
  </si>
  <si>
    <t>MCPB012</t>
  </si>
  <si>
    <t>MCPB013</t>
  </si>
  <si>
    <t>MCPB014</t>
  </si>
  <si>
    <t>MCPB015</t>
  </si>
  <si>
    <t>MCPB016</t>
  </si>
  <si>
    <t>MCPB017</t>
  </si>
  <si>
    <t>MCPB018</t>
  </si>
  <si>
    <t>MCPB019</t>
  </si>
  <si>
    <t>MCPB020</t>
  </si>
  <si>
    <t>MCPB021</t>
  </si>
  <si>
    <t>MCPB022</t>
  </si>
  <si>
    <t>MCPB</t>
  </si>
  <si>
    <t>CATERGORY</t>
  </si>
  <si>
    <t>CODE KEY</t>
  </si>
  <si>
    <t>CODE MEANING</t>
  </si>
  <si>
    <t>MAMI</t>
  </si>
  <si>
    <r>
      <rPr>
        <b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icrobiz </t>
    </r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hickens </t>
    </r>
    <r>
      <rPr>
        <b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roject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roiler</t>
    </r>
  </si>
  <si>
    <r>
      <rPr>
        <b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icrobiz </t>
    </r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hickens </t>
    </r>
    <r>
      <rPr>
        <b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rojec</t>
    </r>
    <r>
      <rPr>
        <b/>
        <sz val="11"/>
        <color theme="1"/>
        <rFont val="Calibri"/>
        <family val="2"/>
        <scheme val="minor"/>
      </rPr>
      <t>t l</t>
    </r>
    <r>
      <rPr>
        <sz val="11"/>
        <color theme="1"/>
        <rFont val="Calibri"/>
        <family val="2"/>
        <scheme val="minor"/>
      </rPr>
      <t>ayers</t>
    </r>
  </si>
  <si>
    <r>
      <rPr>
        <b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icroiz</t>
    </r>
    <r>
      <rPr>
        <b/>
        <sz val="11"/>
        <color theme="1"/>
        <rFont val="Calibri"/>
        <family val="2"/>
        <scheme val="minor"/>
      </rPr>
      <t xml:space="preserve"> A</t>
    </r>
    <r>
      <rPr>
        <sz val="11"/>
        <color theme="1"/>
        <rFont val="Calibri"/>
        <family val="2"/>
        <scheme val="minor"/>
      </rPr>
      <t>gricultural</t>
    </r>
    <r>
      <rPr>
        <b/>
        <sz val="11"/>
        <color theme="1"/>
        <rFont val="Calibri"/>
        <family val="2"/>
        <scheme val="minor"/>
      </rPr>
      <t xml:space="preserve"> M</t>
    </r>
    <r>
      <rPr>
        <sz val="11"/>
        <color theme="1"/>
        <rFont val="Calibri"/>
        <family val="2"/>
        <scheme val="minor"/>
      </rPr>
      <t xml:space="preserve">achinery </t>
    </r>
    <r>
      <rPr>
        <b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ncubators</t>
    </r>
  </si>
  <si>
    <t>MCPL025</t>
  </si>
  <si>
    <t>MCPL026</t>
  </si>
  <si>
    <t>MCPL027</t>
  </si>
  <si>
    <t>MCPL028</t>
  </si>
  <si>
    <t>MCPL029</t>
  </si>
  <si>
    <t>MCPL030</t>
  </si>
  <si>
    <t>MCPL031</t>
  </si>
  <si>
    <t>MCPL032</t>
  </si>
  <si>
    <t>MCPL033</t>
  </si>
  <si>
    <t>MCPL034</t>
  </si>
  <si>
    <t>MCPL035</t>
  </si>
  <si>
    <t>MCPL036</t>
  </si>
  <si>
    <t>MCPL037</t>
  </si>
  <si>
    <t>MCPL038</t>
  </si>
  <si>
    <t>MCPL039</t>
  </si>
  <si>
    <t>MCPL040</t>
  </si>
  <si>
    <t>Feed</t>
  </si>
  <si>
    <t>MAMI044</t>
  </si>
  <si>
    <t>: Agricultural Machinery</t>
  </si>
  <si>
    <t>: INCUBATORS</t>
  </si>
  <si>
    <t>: BEUATY ,HAIR AND COSMETICS</t>
  </si>
  <si>
    <t>:SALOON FURNITURE AND EQUIPMENT</t>
  </si>
  <si>
    <t>SALOON FURNITURE</t>
  </si>
  <si>
    <t>&amp; EQUIPMENT</t>
  </si>
  <si>
    <t>Mirrors ,Usb ports</t>
  </si>
  <si>
    <t>Medium</t>
  </si>
  <si>
    <t>Moveable</t>
  </si>
  <si>
    <t>Mounted</t>
  </si>
  <si>
    <t>Chair/Stool</t>
  </si>
  <si>
    <t xml:space="preserve">Saloon Station </t>
  </si>
  <si>
    <t xml:space="preserve">Wash Basin </t>
  </si>
  <si>
    <t>Hair Drayer</t>
  </si>
  <si>
    <t>War Drayer</t>
  </si>
  <si>
    <t>Trollery</t>
  </si>
  <si>
    <t>Tranport Indrive</t>
  </si>
  <si>
    <t>Furniture</t>
  </si>
  <si>
    <t xml:space="preserve">Transport </t>
  </si>
  <si>
    <t>SPEAKER</t>
  </si>
  <si>
    <t>Tower</t>
  </si>
  <si>
    <t>Slug</t>
  </si>
  <si>
    <t xml:space="preserve"> from source to Courier</t>
  </si>
  <si>
    <t xml:space="preserve">Snooker Table </t>
  </si>
  <si>
    <t>Bar Entertainment</t>
  </si>
  <si>
    <t>:PA SYSTEMS</t>
  </si>
  <si>
    <t xml:space="preserve">PA SYSTEMS </t>
  </si>
  <si>
    <t xml:space="preserve">Mixer </t>
  </si>
  <si>
    <t xml:space="preserve">Microphone </t>
  </si>
  <si>
    <t>Coded 3 Pack</t>
  </si>
  <si>
    <t>Top Speaker</t>
  </si>
  <si>
    <t>Base Bin Speaker</t>
  </si>
  <si>
    <t>Hybrid 15 inch</t>
  </si>
  <si>
    <t>Amplifyer</t>
  </si>
  <si>
    <t>Hybrid B2400</t>
  </si>
  <si>
    <t>Speaker Cables</t>
  </si>
  <si>
    <t>10 metres</t>
  </si>
  <si>
    <t>Pole Stand</t>
  </si>
  <si>
    <t>Masters</t>
  </si>
  <si>
    <t>Nhema Incuators</t>
  </si>
  <si>
    <t>FULLHOUSE</t>
  </si>
  <si>
    <t>GOLD PACKAGE</t>
  </si>
  <si>
    <t>: EVENTS MANAGEMENT</t>
  </si>
  <si>
    <t>: EVENTS MANAGEMENTS</t>
  </si>
  <si>
    <t xml:space="preserve">  </t>
  </si>
  <si>
    <t xml:space="preserve">Hybrid 6 Channel </t>
  </si>
  <si>
    <t>For top speaker x2</t>
  </si>
  <si>
    <t xml:space="preserve">Hybrid 12 Channel </t>
  </si>
  <si>
    <t>Codeless x2</t>
  </si>
  <si>
    <t>Hybrid double 18 inch</t>
  </si>
  <si>
    <t>MEMP</t>
  </si>
  <si>
    <t>Microiz Event Management Pa systems</t>
  </si>
  <si>
    <t xml:space="preserve"> Code</t>
  </si>
  <si>
    <t>TSBP</t>
  </si>
  <si>
    <t>TCBP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</si>
  <si>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ransport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ource Broiler Producton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</si>
  <si>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Courier  Broiler Producton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</si>
  <si>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ransport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ource layers Producton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</si>
  <si>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Courier  Layers Producton</t>
    </r>
  </si>
  <si>
    <t>TSLP</t>
  </si>
  <si>
    <t>TCLP</t>
  </si>
  <si>
    <t>TSBP023</t>
  </si>
  <si>
    <t>TCBP024</t>
  </si>
  <si>
    <t>TSLP041</t>
  </si>
  <si>
    <t>TCLP042</t>
  </si>
  <si>
    <t>TSIM</t>
  </si>
  <si>
    <t>TCIM</t>
  </si>
  <si>
    <t>TCIM049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</si>
  <si>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ransport </t>
    </r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ource lncubators Machinery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</si>
  <si>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Courier  Incubators Machinery</t>
    </r>
  </si>
  <si>
    <t>TSPS</t>
  </si>
  <si>
    <t>TCPS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</si>
  <si>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Source  PA Systems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</si>
  <si>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Courier PA System</t>
    </r>
  </si>
  <si>
    <t>MEMP051</t>
  </si>
  <si>
    <t>MEMP052</t>
  </si>
  <si>
    <t>MEMP053</t>
  </si>
  <si>
    <t>MEMP054</t>
  </si>
  <si>
    <t>MEMP055</t>
  </si>
  <si>
    <t>MEMP056</t>
  </si>
  <si>
    <t>MEMP057</t>
  </si>
  <si>
    <t>MEMP058</t>
  </si>
  <si>
    <t>Code</t>
  </si>
  <si>
    <t>: BAR ENTERTAINMENT</t>
  </si>
  <si>
    <t>: PORTABLE TOILETS</t>
  </si>
  <si>
    <t>55' inch Television</t>
  </si>
  <si>
    <t xml:space="preserve">Smart TV </t>
  </si>
  <si>
    <t>Azam</t>
  </si>
  <si>
    <t>Decoder Subscription</t>
  </si>
  <si>
    <t>Decoder</t>
  </si>
  <si>
    <t>1 month (PSL enabled)</t>
  </si>
  <si>
    <t>Commercial</t>
  </si>
  <si>
    <t>Disco lights</t>
  </si>
  <si>
    <t>Dart  body</t>
  </si>
  <si>
    <t>Gold Package</t>
  </si>
  <si>
    <t>Portable Toilets</t>
  </si>
  <si>
    <t>Plasctic Chairs</t>
  </si>
  <si>
    <t>Tiffan chairs</t>
  </si>
  <si>
    <t>Foldable Tables</t>
  </si>
  <si>
    <t>STANDARD 1</t>
  </si>
  <si>
    <t>STANDARD 2</t>
  </si>
  <si>
    <t>FULLHOUSE 1</t>
  </si>
  <si>
    <t>FULLHOUSE 2</t>
  </si>
  <si>
    <t>Small Foldable table</t>
  </si>
  <si>
    <t xml:space="preserve">GOLD </t>
  </si>
  <si>
    <t>Peg and Pol 100 Seater (5mx5m)</t>
  </si>
  <si>
    <t>Peg and Pol 50 Seater (5mx5m)</t>
  </si>
  <si>
    <t>Tent</t>
  </si>
  <si>
    <t xml:space="preserve"> Foldable table</t>
  </si>
  <si>
    <t>Rectangle</t>
  </si>
  <si>
    <t>Bride and Grooms chairs</t>
  </si>
  <si>
    <t>: TAILORING MACHINE</t>
  </si>
  <si>
    <t>:SEWING</t>
  </si>
  <si>
    <t>SEWING</t>
  </si>
  <si>
    <t>Straight Machine</t>
  </si>
  <si>
    <t>Domestic (Butterfly)</t>
  </si>
  <si>
    <t>Zig Zag Machine</t>
  </si>
  <si>
    <t>Overlocking Machine</t>
  </si>
  <si>
    <t>Domestic (Multifunctonal ,Kawkab)</t>
  </si>
  <si>
    <t xml:space="preserve">4 Threader Mock Stitch  Industrail(Worlden) </t>
  </si>
  <si>
    <t>Cutting Machine</t>
  </si>
  <si>
    <t>8 inch</t>
  </si>
  <si>
    <t>8 and 10 inch</t>
  </si>
  <si>
    <t>Octar</t>
  </si>
  <si>
    <t>Tag gun</t>
  </si>
  <si>
    <t xml:space="preserve">Bartech Machine </t>
  </si>
  <si>
    <t>Industrail (juki)</t>
  </si>
  <si>
    <t>Domestic (Singer)</t>
  </si>
  <si>
    <t>Domestic (Citizen)</t>
  </si>
  <si>
    <t>Flossy  Machine</t>
  </si>
  <si>
    <t>Embroidery Machine</t>
  </si>
  <si>
    <t>Domestic (Janomoe computerised)</t>
  </si>
  <si>
    <t xml:space="preserve">5 Threader Safety  Industrail(Worlden) </t>
  </si>
  <si>
    <t>Iron</t>
  </si>
  <si>
    <t>Industrail (Silverstar)</t>
  </si>
  <si>
    <t>Domestic (Kawkab)</t>
  </si>
  <si>
    <t>: PERSONAL DEVELOPMENT</t>
  </si>
  <si>
    <t>DRIVERS LICENCE</t>
  </si>
  <si>
    <t xml:space="preserve">Oral lessons </t>
  </si>
  <si>
    <t>Lessons until you pass</t>
  </si>
  <si>
    <t>Trafic Safety Council of Zimbabwe  2 day Course</t>
  </si>
  <si>
    <t>:DRIVERS LICENCE</t>
  </si>
  <si>
    <t xml:space="preserve">Provisional Licence </t>
  </si>
  <si>
    <t>Micrbiz</t>
  </si>
  <si>
    <t>Defensive Driving Course</t>
  </si>
  <si>
    <t>Defensive Driving Test</t>
  </si>
  <si>
    <t>Practical Lessons class 4/3</t>
  </si>
  <si>
    <t>Practical Lessons class 1/2</t>
  </si>
  <si>
    <t>Car Hire class 4/3</t>
  </si>
  <si>
    <t>Car Hire class 2/1</t>
  </si>
  <si>
    <t>Road Test class 4/3</t>
  </si>
  <si>
    <t>Road Test class 2/1</t>
  </si>
  <si>
    <t>Raod test Including vision and pschomotar</t>
  </si>
  <si>
    <t>F.H-Class 4&amp;1 Combo</t>
  </si>
  <si>
    <t>LITE-Class 4 or 3</t>
  </si>
  <si>
    <t>STD-Class 1 or 2</t>
  </si>
  <si>
    <t>Road lessons x 10, of half an hour class 2/1</t>
  </si>
  <si>
    <t>Road lessons x 30, of  half an hour class 4/3</t>
  </si>
  <si>
    <t>V.I.D booking class 4/3 (one time attempt)</t>
  </si>
  <si>
    <t>V.I.D booking class 4/3 (two time attempt)</t>
  </si>
  <si>
    <t>Provisional test V.I.D (maxium two time attempt ) class 4/3</t>
  </si>
  <si>
    <t>Provisional test V.I.D (one time attempt only) class 2/1</t>
  </si>
  <si>
    <t>V.I.D road test class 4/3 (one time attempt only)</t>
  </si>
  <si>
    <t>V.I.D road test class 4/3 (maxium two time attempts)</t>
  </si>
  <si>
    <t>V.I.D road test class 2/1 (maxium two time attempt only)</t>
  </si>
  <si>
    <t>V.I.D booking class 2/1 (maxium two time attemp onlyt)</t>
  </si>
  <si>
    <t>Transport Cash Back</t>
  </si>
  <si>
    <t>Served at school</t>
  </si>
  <si>
    <t>Kombi rate usd2 daily x 5</t>
  </si>
  <si>
    <t>Transport to and from boarding house</t>
  </si>
  <si>
    <t>Lunch Daily</t>
  </si>
  <si>
    <t>Baking Ingedients</t>
  </si>
  <si>
    <t>Gas Tank and Zuva gasTokens coupon</t>
  </si>
  <si>
    <t>Domestic Sewing Machine</t>
  </si>
  <si>
    <t>Graduation Fees Delight</t>
  </si>
  <si>
    <t>Graduation Fees Ixar</t>
  </si>
  <si>
    <t>Boarding House Boys Only  1 month stay</t>
  </si>
  <si>
    <t>Boarding House Girls Only 1 month stay</t>
  </si>
  <si>
    <t>Inclusive of breakfas,packed lunch, dinner</t>
  </si>
  <si>
    <t xml:space="preserve">Delight Beauty Curse Covers - Nails, Make Up, </t>
  </si>
  <si>
    <t>Installation, Weaving,Wig Making, Braiding</t>
  </si>
  <si>
    <t>1 Month Lessons - Barbering professional</t>
  </si>
  <si>
    <t>3 Month Lessons - Cellphones and laptops</t>
  </si>
  <si>
    <t>Beauty combo (nails, hair, makeup)</t>
  </si>
  <si>
    <t>Sewing</t>
  </si>
  <si>
    <t>Baking</t>
  </si>
  <si>
    <t>6 Months Lessons</t>
  </si>
  <si>
    <t>3 Month Lessons</t>
  </si>
  <si>
    <t>1 Month Weekend (6 hour Lessons) -  Saturdays only</t>
  </si>
  <si>
    <t xml:space="preserve">: VOCATIONAL COURSES </t>
  </si>
  <si>
    <t>Feminine Hustles( F.H)</t>
  </si>
  <si>
    <t>1 Month Evening (2 hour Lessons) - Monday to Friday</t>
  </si>
  <si>
    <t>1 Month (2 hour Lessons) - Monday to Friday</t>
  </si>
  <si>
    <t>Delight</t>
  </si>
  <si>
    <t>Ixar Academy</t>
  </si>
  <si>
    <t>Beauty or Sewing or Baking</t>
  </si>
  <si>
    <t>LITE</t>
  </si>
  <si>
    <t>Option 1</t>
  </si>
  <si>
    <t xml:space="preserve">Option2 </t>
  </si>
  <si>
    <t>30 day training - Ixar Academy</t>
  </si>
  <si>
    <t>total</t>
  </si>
  <si>
    <t>Courier charge 1</t>
  </si>
  <si>
    <t>Courier charge 2</t>
  </si>
  <si>
    <t>Courier charge 3</t>
  </si>
  <si>
    <t>Courier charge 4</t>
  </si>
  <si>
    <t>TCIM050</t>
  </si>
  <si>
    <t xml:space="preserve">Microbiz Entertainment Bar </t>
  </si>
  <si>
    <t>METB</t>
  </si>
  <si>
    <t>MEMP059</t>
  </si>
  <si>
    <t>METB065</t>
  </si>
  <si>
    <t>METB066</t>
  </si>
  <si>
    <t>METB067</t>
  </si>
  <si>
    <t>METB068</t>
  </si>
  <si>
    <t>METB069</t>
  </si>
  <si>
    <t>METB070</t>
  </si>
  <si>
    <t>METB071</t>
  </si>
  <si>
    <t>METB072</t>
  </si>
  <si>
    <t>TSBE</t>
  </si>
  <si>
    <t>TCBE</t>
  </si>
  <si>
    <t>Microbiz Events Management Venue Setup</t>
  </si>
  <si>
    <t>MEMV</t>
  </si>
  <si>
    <t xml:space="preserve">Transport Source Events Management Bar </t>
  </si>
  <si>
    <t>Transport Courier Events Management Bar</t>
  </si>
  <si>
    <t>Transport Source Events Management Venue Setup</t>
  </si>
  <si>
    <t>TSMV</t>
  </si>
  <si>
    <t>TCMV</t>
  </si>
  <si>
    <t>Transport Courier Events Management Venue Setup</t>
  </si>
  <si>
    <t>MAMI043</t>
  </si>
  <si>
    <t>MAMI045</t>
  </si>
  <si>
    <t>TSIM046</t>
  </si>
  <si>
    <t>TCIM047</t>
  </si>
  <si>
    <t>TCIM048</t>
  </si>
  <si>
    <t>TSPS060</t>
  </si>
  <si>
    <t>TCPS061</t>
  </si>
  <si>
    <t>TCPS062</t>
  </si>
  <si>
    <t>TCPS063</t>
  </si>
  <si>
    <t>TCPS064</t>
  </si>
  <si>
    <t>MTSM</t>
  </si>
  <si>
    <t>TSTM</t>
  </si>
  <si>
    <t>TCTM</t>
  </si>
  <si>
    <t>MTSM100</t>
  </si>
  <si>
    <t>MTSM101</t>
  </si>
  <si>
    <t>TSBE073</t>
  </si>
  <si>
    <t>TCBE074</t>
  </si>
  <si>
    <t>TCBE075</t>
  </si>
  <si>
    <t>TCBE076</t>
  </si>
  <si>
    <t>TCBE077</t>
  </si>
  <si>
    <t>MEMV078</t>
  </si>
  <si>
    <t>MEMV079</t>
  </si>
  <si>
    <t>MEMV080</t>
  </si>
  <si>
    <t>MEMV081</t>
  </si>
  <si>
    <t>MEMV082</t>
  </si>
  <si>
    <t>MEMV083</t>
  </si>
  <si>
    <t>MEMV084</t>
  </si>
  <si>
    <t>TSMV085</t>
  </si>
  <si>
    <t>TCMV086</t>
  </si>
  <si>
    <t>TCMV087</t>
  </si>
  <si>
    <t>TCMV088</t>
  </si>
  <si>
    <t>TCMV089</t>
  </si>
  <si>
    <t>MTSM090</t>
  </si>
  <si>
    <t>MTSM091</t>
  </si>
  <si>
    <t>MTSM092</t>
  </si>
  <si>
    <t>MTSM093</t>
  </si>
  <si>
    <t>MTSM094</t>
  </si>
  <si>
    <t>MTSM095</t>
  </si>
  <si>
    <t>MTSM096</t>
  </si>
  <si>
    <t>MTSM097</t>
  </si>
  <si>
    <t>MTSM098</t>
  </si>
  <si>
    <t>MTSM099</t>
  </si>
  <si>
    <t>MTSM102</t>
  </si>
  <si>
    <t>TSTM103</t>
  </si>
  <si>
    <t>TCTM104</t>
  </si>
  <si>
    <t>PDDL105</t>
  </si>
  <si>
    <t>PDDL106</t>
  </si>
  <si>
    <t>PDDL107</t>
  </si>
  <si>
    <t>PDDL108</t>
  </si>
  <si>
    <t>PDDL109</t>
  </si>
  <si>
    <t>PDDL110</t>
  </si>
  <si>
    <t>PDDL111</t>
  </si>
  <si>
    <t>PDDL112</t>
  </si>
  <si>
    <t>PDDL113</t>
  </si>
  <si>
    <t>PDDL114</t>
  </si>
  <si>
    <t>PDDL115</t>
  </si>
  <si>
    <t>PDDL116</t>
  </si>
  <si>
    <t>PDDL117</t>
  </si>
  <si>
    <t>Microbiz Tailoring Sewing Machine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</si>
  <si>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Source  Tailoring Machine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</si>
  <si>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ransport Courier  Tailoring Machine</t>
    </r>
  </si>
  <si>
    <t>PDDL</t>
  </si>
  <si>
    <t>Personal Development Drivers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</si>
</sst>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3" xfId="0" applyBorder="1"/>
    <xf numFmtId="0" fontId="0" fillId="0" borderId="4" xfId="0" applyBorder="1"/>
    <xf numFmtId="0" fontId="2" fillId="0" borderId="3" xfId="0" applyFont="1" applyBorder="1"/>
    <xf numFmtId="0" fontId="0" fillId="0" borderId="5" xfId="0" applyBorder="1"/>
    <xf numFmtId="0" fontId="2" fillId="0" borderId="0" xfId="0" applyFont="1"/>
    <xf numFmtId="0" fontId="2" fillId="0" borderId="5" xfId="0" applyFont="1" applyBorder="1"/>
    <xf numFmtId="0" fontId="1" fillId="0" borderId="3" xfId="0" applyFont="1" applyBorder="1"/>
    <xf numFmtId="0" fontId="3" fillId="0" borderId="0" xfId="0" applyFont="1"/>
    <xf numFmtId="0" fontId="3" fillId="0" borderId="3" xfId="0" applyFont="1" applyBorder="1"/>
    <xf numFmtId="9" fontId="0" fillId="0" borderId="0" xfId="0" applyNumberFormat="1"/>
    <xf numFmtId="0" fontId="0" fillId="0" borderId="7" xfId="0" applyBorder="1"/>
    <xf numFmtId="0" fontId="1" fillId="0" borderId="6" xfId="0" applyFont="1" applyBorder="1"/>
    <xf numFmtId="0" fontId="0" fillId="0" borderId="6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4" xfId="0" applyFont="1" applyBorder="1"/>
    <xf numFmtId="0" fontId="1" fillId="0" borderId="12" xfId="0" applyFont="1" applyBorder="1"/>
    <xf numFmtId="1" fontId="0" fillId="0" borderId="0" xfId="0" applyNumberFormat="1"/>
    <xf numFmtId="0" fontId="0" fillId="0" borderId="12" xfId="0" applyBorder="1"/>
    <xf numFmtId="1" fontId="0" fillId="0" borderId="4" xfId="0" applyNumberFormat="1" applyBorder="1"/>
    <xf numFmtId="1" fontId="0" fillId="0" borderId="3" xfId="0" applyNumberFormat="1" applyBorder="1"/>
    <xf numFmtId="0" fontId="0" fillId="0" borderId="13" xfId="0" applyBorder="1"/>
    <xf numFmtId="0" fontId="0" fillId="0" borderId="14" xfId="0" applyBorder="1"/>
    <xf numFmtId="0" fontId="3" fillId="0" borderId="8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" fontId="1" fillId="0" borderId="3" xfId="0" applyNumberFormat="1" applyFont="1" applyBorder="1"/>
    <xf numFmtId="0" fontId="0" fillId="0" borderId="0" xfId="0" applyAlignment="1">
      <alignment horizontal="center"/>
    </xf>
    <xf numFmtId="0" fontId="0" fillId="0" borderId="18" xfId="0" applyBorder="1"/>
    <xf numFmtId="0" fontId="0" fillId="0" borderId="1" xfId="0" applyBorder="1"/>
    <xf numFmtId="1" fontId="0" fillId="0" borderId="5" xfId="0" applyNumberFormat="1" applyBorder="1"/>
    <xf numFmtId="0" fontId="0" fillId="0" borderId="3" xfId="0" applyBorder="1" applyAlignment="1">
      <alignment wrapText="1"/>
    </xf>
    <xf numFmtId="0" fontId="1" fillId="0" borderId="8" xfId="0" applyFont="1" applyBorder="1"/>
    <xf numFmtId="0" fontId="0" fillId="0" borderId="0" xfId="0" applyAlignment="1">
      <alignment horizontal="right"/>
    </xf>
    <xf numFmtId="9" fontId="1" fillId="0" borderId="0" xfId="0" applyNumberFormat="1" applyFont="1" applyAlignment="1">
      <alignment horizontal="left"/>
    </xf>
    <xf numFmtId="9" fontId="1" fillId="0" borderId="0" xfId="0" applyNumberFormat="1" applyFont="1"/>
    <xf numFmtId="0" fontId="1" fillId="0" borderId="5" xfId="0" applyFont="1" applyBorder="1"/>
    <xf numFmtId="0" fontId="0" fillId="0" borderId="3" xfId="0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14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4959-CD93-4A01-98AC-929F4430F721}">
  <dimension ref="A1:C31"/>
  <sheetViews>
    <sheetView tabSelected="1" workbookViewId="0">
      <selection activeCell="C12" sqref="C12"/>
    </sheetView>
  </sheetViews>
  <sheetFormatPr defaultRowHeight="16.5" x14ac:dyDescent="0.25"/>
  <cols>
    <col min="1" max="1" width="23.7109375" customWidth="1"/>
    <col min="2" max="2" width="40.140625" customWidth="1"/>
    <col min="3" max="3" width="50.7109375" customWidth="1"/>
  </cols>
  <sheetData>
    <row r="1" spans="1:3" x14ac:dyDescent="0.25">
      <c r="A1" s="7" t="s">
        <v>254</v>
      </c>
      <c r="B1" s="7" t="s">
        <v>255</v>
      </c>
      <c r="C1" s="7" t="s">
        <v>256</v>
      </c>
    </row>
    <row r="2" spans="1:3" x14ac:dyDescent="0.25">
      <c r="A2" s="1"/>
      <c r="B2" s="1"/>
      <c r="C2" s="1"/>
    </row>
    <row r="3" spans="1:3" x14ac:dyDescent="0.25">
      <c r="A3" s="1" t="s">
        <v>422</v>
      </c>
      <c r="B3" s="1" t="s">
        <v>253</v>
      </c>
      <c r="C3" s="1" t="s">
        <v>258</v>
      </c>
    </row>
    <row r="4" spans="1:3" x14ac:dyDescent="0.25">
      <c r="A4" s="1"/>
      <c r="B4" s="1" t="s">
        <v>239</v>
      </c>
      <c r="C4" s="1" t="s">
        <v>259</v>
      </c>
    </row>
    <row r="5" spans="1:3" x14ac:dyDescent="0.25">
      <c r="A5" s="1"/>
      <c r="B5" s="1" t="s">
        <v>257</v>
      </c>
      <c r="C5" s="1" t="s">
        <v>260</v>
      </c>
    </row>
    <row r="6" spans="1:3" x14ac:dyDescent="0.25">
      <c r="A6" s="1"/>
      <c r="B6" s="1" t="s">
        <v>332</v>
      </c>
      <c r="C6" s="1" t="s">
        <v>334</v>
      </c>
    </row>
    <row r="7" spans="1:3" x14ac:dyDescent="0.25">
      <c r="A7" s="1"/>
      <c r="B7" s="1" t="s">
        <v>333</v>
      </c>
      <c r="C7" s="1" t="s">
        <v>335</v>
      </c>
    </row>
    <row r="8" spans="1:3" x14ac:dyDescent="0.25">
      <c r="A8" s="1"/>
      <c r="B8" s="1" t="s">
        <v>486</v>
      </c>
      <c r="C8" s="1" t="s">
        <v>485</v>
      </c>
    </row>
    <row r="9" spans="1:3" x14ac:dyDescent="0.25">
      <c r="A9" s="1"/>
      <c r="B9" s="1" t="s">
        <v>329</v>
      </c>
      <c r="C9" s="1" t="s">
        <v>330</v>
      </c>
    </row>
    <row r="10" spans="1:3" x14ac:dyDescent="0.25">
      <c r="A10" s="1"/>
      <c r="B10" s="1" t="s">
        <v>499</v>
      </c>
      <c r="C10" s="1" t="s">
        <v>498</v>
      </c>
    </row>
    <row r="11" spans="1:3" x14ac:dyDescent="0.25">
      <c r="A11" s="1"/>
      <c r="B11" s="1" t="s">
        <v>516</v>
      </c>
      <c r="C11" s="1" t="s">
        <v>564</v>
      </c>
    </row>
    <row r="12" spans="1:3" x14ac:dyDescent="0.25">
      <c r="A12" s="1"/>
      <c r="B12" s="1" t="s">
        <v>567</v>
      </c>
      <c r="C12" s="1" t="s">
        <v>568</v>
      </c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 t="s">
        <v>338</v>
      </c>
      <c r="C16" s="1" t="s">
        <v>336</v>
      </c>
    </row>
    <row r="17" spans="1:3" x14ac:dyDescent="0.25">
      <c r="A17" s="1"/>
      <c r="B17" s="1" t="s">
        <v>339</v>
      </c>
      <c r="C17" s="1" t="s">
        <v>337</v>
      </c>
    </row>
    <row r="18" spans="1:3" x14ac:dyDescent="0.25">
      <c r="A18" s="1"/>
      <c r="B18" s="1" t="s">
        <v>344</v>
      </c>
      <c r="C18" s="1" t="s">
        <v>347</v>
      </c>
    </row>
    <row r="19" spans="1:3" x14ac:dyDescent="0.25">
      <c r="A19" s="1"/>
      <c r="B19" s="1" t="s">
        <v>345</v>
      </c>
      <c r="C19" s="1" t="s">
        <v>348</v>
      </c>
    </row>
    <row r="20" spans="1:3" x14ac:dyDescent="0.25">
      <c r="A20" s="1"/>
      <c r="B20" s="1" t="s">
        <v>349</v>
      </c>
      <c r="C20" s="1" t="s">
        <v>351</v>
      </c>
    </row>
    <row r="21" spans="1:3" x14ac:dyDescent="0.25">
      <c r="A21" s="1"/>
      <c r="B21" s="1" t="s">
        <v>350</v>
      </c>
      <c r="C21" s="1" t="s">
        <v>352</v>
      </c>
    </row>
    <row r="22" spans="1:3" x14ac:dyDescent="0.25">
      <c r="A22" s="1"/>
      <c r="B22" s="1" t="s">
        <v>496</v>
      </c>
      <c r="C22" s="1" t="s">
        <v>500</v>
      </c>
    </row>
    <row r="23" spans="1:3" x14ac:dyDescent="0.25">
      <c r="A23" s="1"/>
      <c r="B23" s="1" t="s">
        <v>497</v>
      </c>
      <c r="C23" s="1" t="s">
        <v>501</v>
      </c>
    </row>
    <row r="24" spans="1:3" x14ac:dyDescent="0.25">
      <c r="A24" s="1"/>
      <c r="B24" s="1" t="s">
        <v>503</v>
      </c>
      <c r="C24" s="1" t="s">
        <v>502</v>
      </c>
    </row>
    <row r="25" spans="1:3" x14ac:dyDescent="0.25">
      <c r="A25" s="1"/>
      <c r="B25" s="1" t="s">
        <v>504</v>
      </c>
      <c r="C25" s="1" t="s">
        <v>505</v>
      </c>
    </row>
    <row r="26" spans="1:3" x14ac:dyDescent="0.25">
      <c r="A26" s="1"/>
      <c r="B26" s="1" t="s">
        <v>517</v>
      </c>
      <c r="C26" s="1" t="s">
        <v>565</v>
      </c>
    </row>
    <row r="27" spans="1:3" x14ac:dyDescent="0.25">
      <c r="A27" s="1"/>
      <c r="B27" s="1" t="s">
        <v>518</v>
      </c>
      <c r="C27" s="1" t="s">
        <v>566</v>
      </c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65"/>
      <c r="B31" s="65"/>
      <c r="C31" s="6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6365E-12ED-420B-960E-E03D71A60B26}">
  <dimension ref="A1:P49"/>
  <sheetViews>
    <sheetView topLeftCell="A15" workbookViewId="0">
      <selection activeCell="C52" sqref="C52"/>
    </sheetView>
  </sheetViews>
  <sheetFormatPr defaultRowHeight="16.5" x14ac:dyDescent="0.25"/>
  <cols>
    <col min="1" max="1" width="21.42578125" customWidth="1"/>
    <col min="2" max="2" width="27.140625" customWidth="1"/>
    <col min="3" max="3" width="21.28515625" customWidth="1"/>
  </cols>
  <sheetData>
    <row r="1" spans="1:16" x14ac:dyDescent="0.25">
      <c r="A1" s="17" t="s">
        <v>228</v>
      </c>
      <c r="B1" s="17" t="s">
        <v>226</v>
      </c>
    </row>
    <row r="2" spans="1:16" x14ac:dyDescent="0.25">
      <c r="A2" s="17" t="s">
        <v>225</v>
      </c>
      <c r="B2" s="17" t="s">
        <v>227</v>
      </c>
    </row>
    <row r="3" spans="1:16" ht="17.25" thickBot="1" x14ac:dyDescent="0.3"/>
    <row r="4" spans="1:16" ht="17.25" thickBot="1" x14ac:dyDescent="0.3">
      <c r="A4" s="7" t="s">
        <v>6</v>
      </c>
      <c r="B4" s="38"/>
      <c r="C4" s="17" t="s">
        <v>187</v>
      </c>
      <c r="D4" s="39">
        <v>0.4</v>
      </c>
      <c r="F4" s="47" t="s">
        <v>0</v>
      </c>
      <c r="G4" s="48"/>
      <c r="I4" s="47" t="s">
        <v>1</v>
      </c>
      <c r="J4" s="48"/>
      <c r="L4" s="47" t="s">
        <v>25</v>
      </c>
      <c r="M4" s="48"/>
      <c r="O4" s="47" t="s">
        <v>320</v>
      </c>
      <c r="P4" s="48"/>
    </row>
    <row r="5" spans="1:16" x14ac:dyDescent="0.25">
      <c r="B5" s="1" t="s">
        <v>186</v>
      </c>
      <c r="C5" s="1" t="s">
        <v>181</v>
      </c>
      <c r="D5" s="1" t="s">
        <v>3</v>
      </c>
      <c r="F5" s="2" t="s">
        <v>4</v>
      </c>
      <c r="G5" s="2" t="s">
        <v>5</v>
      </c>
      <c r="I5" s="2" t="s">
        <v>4</v>
      </c>
      <c r="J5" s="2" t="s">
        <v>5</v>
      </c>
      <c r="L5" s="2" t="s">
        <v>4</v>
      </c>
      <c r="M5" s="2" t="s">
        <v>5</v>
      </c>
      <c r="O5" s="2" t="s">
        <v>4</v>
      </c>
      <c r="P5" s="2" t="s">
        <v>5</v>
      </c>
    </row>
    <row r="6" spans="1:16" x14ac:dyDescent="0.25">
      <c r="A6" s="37" t="s">
        <v>224</v>
      </c>
      <c r="B6" s="1" t="s">
        <v>180</v>
      </c>
      <c r="C6" s="1" t="s">
        <v>182</v>
      </c>
      <c r="D6" s="1">
        <v>1</v>
      </c>
      <c r="F6" s="1">
        <v>50</v>
      </c>
      <c r="G6" s="1">
        <f>D6*F6</f>
        <v>50</v>
      </c>
      <c r="I6" s="1">
        <v>100</v>
      </c>
      <c r="J6" s="1">
        <f>D6*I6</f>
        <v>100</v>
      </c>
      <c r="L6" s="1">
        <v>100</v>
      </c>
      <c r="M6" s="1">
        <f>D6*L6</f>
        <v>100</v>
      </c>
      <c r="O6" s="1">
        <v>200</v>
      </c>
      <c r="P6" s="1">
        <f>O6*D6</f>
        <v>200</v>
      </c>
    </row>
    <row r="7" spans="1:16" x14ac:dyDescent="0.25">
      <c r="A7" s="37"/>
      <c r="B7" s="3" t="s">
        <v>7</v>
      </c>
      <c r="C7" s="1"/>
      <c r="D7" s="1"/>
      <c r="F7" s="1"/>
      <c r="G7" s="1"/>
      <c r="I7" s="1"/>
      <c r="J7" s="1"/>
      <c r="L7" s="1"/>
      <c r="M7" s="1"/>
      <c r="O7" s="1"/>
      <c r="P7" s="1"/>
    </row>
    <row r="8" spans="1:16" x14ac:dyDescent="0.25">
      <c r="A8" s="37" t="s">
        <v>229</v>
      </c>
      <c r="B8" s="1" t="s">
        <v>185</v>
      </c>
      <c r="C8" s="1" t="s">
        <v>183</v>
      </c>
      <c r="D8" s="1">
        <v>18</v>
      </c>
      <c r="F8" s="1">
        <v>1</v>
      </c>
      <c r="G8" s="1">
        <f t="shared" ref="G8:G36" si="0">D8*F8</f>
        <v>18</v>
      </c>
      <c r="I8" s="1">
        <v>0</v>
      </c>
      <c r="J8" s="1">
        <f t="shared" ref="J8:J36" si="1">D8*I8</f>
        <v>0</v>
      </c>
      <c r="L8" s="1">
        <v>0</v>
      </c>
      <c r="M8" s="1">
        <f t="shared" ref="M8:M40" si="2">D8*L8</f>
        <v>0</v>
      </c>
      <c r="O8" s="1">
        <v>0</v>
      </c>
      <c r="P8" s="1">
        <f>O8*D8</f>
        <v>0</v>
      </c>
    </row>
    <row r="9" spans="1:16" x14ac:dyDescent="0.25">
      <c r="A9" s="37" t="s">
        <v>230</v>
      </c>
      <c r="B9" s="1" t="s">
        <v>188</v>
      </c>
      <c r="C9" s="1" t="s">
        <v>184</v>
      </c>
      <c r="D9" s="1">
        <v>36</v>
      </c>
      <c r="F9" s="1">
        <v>0</v>
      </c>
      <c r="G9" s="1">
        <f t="shared" si="0"/>
        <v>0</v>
      </c>
      <c r="I9" s="1">
        <v>1</v>
      </c>
      <c r="J9" s="1">
        <f t="shared" si="1"/>
        <v>36</v>
      </c>
      <c r="L9" s="1">
        <v>1</v>
      </c>
      <c r="M9" s="1">
        <f t="shared" si="2"/>
        <v>36</v>
      </c>
      <c r="O9" s="1">
        <v>2</v>
      </c>
      <c r="P9" s="1">
        <f t="shared" ref="P9:P13" si="3">O9*D9</f>
        <v>72</v>
      </c>
    </row>
    <row r="10" spans="1:16" x14ac:dyDescent="0.25">
      <c r="A10" s="37" t="s">
        <v>231</v>
      </c>
      <c r="B10" s="1" t="s">
        <v>189</v>
      </c>
      <c r="C10" s="1" t="s">
        <v>184</v>
      </c>
      <c r="D10" s="1">
        <v>35</v>
      </c>
      <c r="F10" s="1">
        <v>1</v>
      </c>
      <c r="G10" s="1">
        <f t="shared" si="0"/>
        <v>35</v>
      </c>
      <c r="I10" s="1">
        <v>3</v>
      </c>
      <c r="J10" s="1">
        <f t="shared" si="1"/>
        <v>105</v>
      </c>
      <c r="L10" s="1">
        <v>3</v>
      </c>
      <c r="M10" s="1">
        <f t="shared" si="2"/>
        <v>105</v>
      </c>
      <c r="O10" s="1">
        <v>6</v>
      </c>
      <c r="P10" s="1">
        <f t="shared" si="3"/>
        <v>210</v>
      </c>
    </row>
    <row r="11" spans="1:16" x14ac:dyDescent="0.25">
      <c r="A11" s="37" t="s">
        <v>232</v>
      </c>
      <c r="B11" s="1" t="s">
        <v>189</v>
      </c>
      <c r="C11" s="1" t="s">
        <v>183</v>
      </c>
      <c r="D11" s="1">
        <v>18</v>
      </c>
      <c r="F11" s="1">
        <v>1</v>
      </c>
      <c r="G11" s="1">
        <f t="shared" si="0"/>
        <v>18</v>
      </c>
      <c r="I11" s="1">
        <v>0</v>
      </c>
      <c r="J11" s="1">
        <f t="shared" si="1"/>
        <v>0</v>
      </c>
      <c r="L11" s="1">
        <v>0</v>
      </c>
      <c r="M11" s="1">
        <f t="shared" si="2"/>
        <v>0</v>
      </c>
      <c r="O11" s="1">
        <v>0</v>
      </c>
      <c r="P11" s="1">
        <f t="shared" si="3"/>
        <v>0</v>
      </c>
    </row>
    <row r="12" spans="1:16" x14ac:dyDescent="0.25">
      <c r="A12" s="37" t="s">
        <v>233</v>
      </c>
      <c r="B12" s="1" t="s">
        <v>190</v>
      </c>
      <c r="C12" s="1" t="s">
        <v>184</v>
      </c>
      <c r="D12" s="1">
        <v>34</v>
      </c>
      <c r="F12" s="1">
        <v>1</v>
      </c>
      <c r="G12" s="1">
        <f t="shared" si="0"/>
        <v>34</v>
      </c>
      <c r="I12" s="1">
        <v>3</v>
      </c>
      <c r="J12" s="1">
        <f t="shared" si="1"/>
        <v>102</v>
      </c>
      <c r="L12" s="1">
        <v>3</v>
      </c>
      <c r="M12" s="1">
        <f t="shared" si="2"/>
        <v>102</v>
      </c>
      <c r="O12" s="1">
        <v>6</v>
      </c>
      <c r="P12" s="1">
        <f t="shared" si="3"/>
        <v>204</v>
      </c>
    </row>
    <row r="13" spans="1:16" x14ac:dyDescent="0.25">
      <c r="A13" s="37" t="s">
        <v>234</v>
      </c>
      <c r="B13" s="1" t="s">
        <v>190</v>
      </c>
      <c r="C13" s="1" t="s">
        <v>183</v>
      </c>
      <c r="D13" s="1">
        <v>17.5</v>
      </c>
      <c r="F13" s="1">
        <v>1</v>
      </c>
      <c r="G13" s="1">
        <f t="shared" si="0"/>
        <v>17.5</v>
      </c>
      <c r="I13" s="1">
        <v>0</v>
      </c>
      <c r="J13" s="1">
        <f t="shared" si="1"/>
        <v>0</v>
      </c>
      <c r="L13" s="1"/>
      <c r="M13" s="1">
        <f t="shared" si="2"/>
        <v>0</v>
      </c>
      <c r="O13" s="1"/>
      <c r="P13" s="1">
        <f t="shared" si="3"/>
        <v>0</v>
      </c>
    </row>
    <row r="14" spans="1:16" x14ac:dyDescent="0.25">
      <c r="A14" s="37"/>
      <c r="B14" s="1"/>
      <c r="C14" s="1"/>
      <c r="D14" s="1"/>
      <c r="F14" s="1"/>
      <c r="G14" s="1"/>
      <c r="I14" s="1"/>
      <c r="J14" s="1"/>
      <c r="L14" s="1"/>
      <c r="M14" s="1"/>
      <c r="O14" s="1"/>
      <c r="P14" s="1"/>
    </row>
    <row r="15" spans="1:16" x14ac:dyDescent="0.25">
      <c r="A15" s="37"/>
      <c r="B15" s="7" t="s">
        <v>55</v>
      </c>
      <c r="C15" s="1"/>
      <c r="D15" s="1"/>
      <c r="F15" s="1"/>
      <c r="G15" s="1"/>
      <c r="I15" s="1"/>
      <c r="J15" s="1"/>
      <c r="L15" s="1"/>
      <c r="M15" s="1"/>
      <c r="O15" s="1"/>
      <c r="P15" s="1"/>
    </row>
    <row r="16" spans="1:16" x14ac:dyDescent="0.25">
      <c r="A16" s="37" t="s">
        <v>235</v>
      </c>
      <c r="B16" s="1" t="s">
        <v>193</v>
      </c>
      <c r="C16" s="1" t="s">
        <v>191</v>
      </c>
      <c r="D16" s="1">
        <v>2</v>
      </c>
      <c r="F16" s="1">
        <v>1</v>
      </c>
      <c r="G16" s="1">
        <f t="shared" ref="G16:G18" si="4">D16*F16</f>
        <v>2</v>
      </c>
      <c r="I16" s="1">
        <v>1</v>
      </c>
      <c r="J16" s="1">
        <f t="shared" ref="J16:J18" si="5">D16*I16</f>
        <v>2</v>
      </c>
      <c r="L16" s="1">
        <v>1</v>
      </c>
      <c r="M16" s="1">
        <f t="shared" ref="M16:M18" si="6">D16*L16</f>
        <v>2</v>
      </c>
      <c r="O16" s="1">
        <v>2</v>
      </c>
      <c r="P16" s="1">
        <f t="shared" ref="P16:P18" si="7">G16*O16</f>
        <v>4</v>
      </c>
    </row>
    <row r="17" spans="1:16" x14ac:dyDescent="0.25">
      <c r="A17" s="37" t="s">
        <v>236</v>
      </c>
      <c r="B17" s="1" t="s">
        <v>194</v>
      </c>
      <c r="C17" s="1" t="s">
        <v>192</v>
      </c>
      <c r="D17" s="1">
        <v>4.2</v>
      </c>
      <c r="F17" s="1">
        <v>1</v>
      </c>
      <c r="G17" s="1">
        <f t="shared" si="4"/>
        <v>4.2</v>
      </c>
      <c r="I17" s="1">
        <v>1</v>
      </c>
      <c r="J17" s="1">
        <f t="shared" si="5"/>
        <v>4.2</v>
      </c>
      <c r="L17" s="1">
        <v>1</v>
      </c>
      <c r="M17" s="1">
        <f t="shared" si="6"/>
        <v>4.2</v>
      </c>
      <c r="O17" s="1">
        <v>2</v>
      </c>
      <c r="P17" s="1">
        <f t="shared" si="7"/>
        <v>8.4</v>
      </c>
    </row>
    <row r="18" spans="1:16" x14ac:dyDescent="0.25">
      <c r="A18" s="37" t="s">
        <v>240</v>
      </c>
      <c r="B18" s="1" t="s">
        <v>19</v>
      </c>
      <c r="C18" s="1"/>
      <c r="D18" s="1">
        <v>6.34</v>
      </c>
      <c r="F18" s="1">
        <v>1</v>
      </c>
      <c r="G18" s="1">
        <f t="shared" si="4"/>
        <v>6.34</v>
      </c>
      <c r="I18" s="1">
        <v>1</v>
      </c>
      <c r="J18" s="1">
        <f t="shared" si="5"/>
        <v>6.34</v>
      </c>
      <c r="L18" s="1">
        <v>1</v>
      </c>
      <c r="M18" s="1">
        <f t="shared" si="6"/>
        <v>6.34</v>
      </c>
      <c r="O18" s="1">
        <v>2</v>
      </c>
      <c r="P18" s="1">
        <f t="shared" si="7"/>
        <v>12.68</v>
      </c>
    </row>
    <row r="19" spans="1:16" x14ac:dyDescent="0.25">
      <c r="A19" s="37"/>
      <c r="B19" s="1"/>
      <c r="C19" s="1"/>
      <c r="D19" s="1"/>
      <c r="F19" s="1"/>
      <c r="G19" s="1"/>
      <c r="I19" s="1"/>
      <c r="J19" s="1"/>
      <c r="L19" s="1"/>
      <c r="M19" s="1"/>
      <c r="O19" s="1"/>
      <c r="P19" s="1"/>
    </row>
    <row r="20" spans="1:16" x14ac:dyDescent="0.25">
      <c r="A20" s="37"/>
      <c r="B20" s="7" t="s">
        <v>196</v>
      </c>
      <c r="C20" s="1"/>
      <c r="D20" s="1"/>
      <c r="F20" s="1"/>
      <c r="G20" s="1"/>
      <c r="I20" s="1"/>
      <c r="J20" s="1"/>
      <c r="L20" s="1"/>
      <c r="M20" s="1"/>
      <c r="O20" s="1"/>
      <c r="P20" s="1"/>
    </row>
    <row r="21" spans="1:16" x14ac:dyDescent="0.25">
      <c r="A21" s="37" t="s">
        <v>241</v>
      </c>
      <c r="B21" s="1" t="s">
        <v>8</v>
      </c>
      <c r="C21" s="1" t="s">
        <v>202</v>
      </c>
      <c r="D21" s="1">
        <v>2</v>
      </c>
      <c r="F21" s="1">
        <v>0</v>
      </c>
      <c r="G21" s="1">
        <f t="shared" si="0"/>
        <v>0</v>
      </c>
      <c r="I21" s="1">
        <v>0</v>
      </c>
      <c r="J21" s="1">
        <f t="shared" si="1"/>
        <v>0</v>
      </c>
      <c r="L21" s="1">
        <v>4</v>
      </c>
      <c r="M21" s="1">
        <f t="shared" si="2"/>
        <v>8</v>
      </c>
      <c r="O21" s="1">
        <v>4</v>
      </c>
      <c r="P21" s="1">
        <f>O21*D21</f>
        <v>8</v>
      </c>
    </row>
    <row r="22" spans="1:16" x14ac:dyDescent="0.25">
      <c r="A22" s="37" t="s">
        <v>242</v>
      </c>
      <c r="B22" s="1" t="s">
        <v>9</v>
      </c>
      <c r="C22" s="1" t="s">
        <v>203</v>
      </c>
      <c r="D22" s="1">
        <v>3</v>
      </c>
      <c r="F22" s="1">
        <v>0</v>
      </c>
      <c r="G22" s="1">
        <f t="shared" si="0"/>
        <v>0</v>
      </c>
      <c r="I22" s="1">
        <v>0</v>
      </c>
      <c r="J22" s="1">
        <f t="shared" si="1"/>
        <v>0</v>
      </c>
      <c r="L22" s="1">
        <v>4</v>
      </c>
      <c r="M22" s="1">
        <f t="shared" si="2"/>
        <v>12</v>
      </c>
      <c r="O22" s="1">
        <v>4</v>
      </c>
      <c r="P22" s="1">
        <f t="shared" ref="P22:P23" si="8">O22*D22</f>
        <v>12</v>
      </c>
    </row>
    <row r="23" spans="1:16" x14ac:dyDescent="0.25">
      <c r="A23" s="37" t="s">
        <v>243</v>
      </c>
      <c r="B23" s="1" t="s">
        <v>10</v>
      </c>
      <c r="C23" s="1" t="s">
        <v>204</v>
      </c>
      <c r="D23" s="1">
        <v>7</v>
      </c>
      <c r="F23" s="1">
        <v>0</v>
      </c>
      <c r="G23" s="1">
        <f t="shared" si="0"/>
        <v>0</v>
      </c>
      <c r="I23" s="1">
        <v>0</v>
      </c>
      <c r="J23" s="1">
        <f t="shared" si="1"/>
        <v>0</v>
      </c>
      <c r="L23" s="1">
        <v>4</v>
      </c>
      <c r="M23" s="1">
        <f t="shared" si="2"/>
        <v>28</v>
      </c>
      <c r="O23" s="1">
        <v>4</v>
      </c>
      <c r="P23" s="1">
        <f t="shared" si="8"/>
        <v>28</v>
      </c>
    </row>
    <row r="24" spans="1:16" x14ac:dyDescent="0.25">
      <c r="A24" s="37"/>
      <c r="B24" s="1"/>
      <c r="C24" s="1"/>
      <c r="D24" s="1"/>
      <c r="F24" s="1"/>
      <c r="G24" s="1"/>
      <c r="I24" s="1"/>
      <c r="J24" s="1"/>
      <c r="L24" s="1"/>
      <c r="M24" s="1"/>
      <c r="O24" s="1"/>
      <c r="P24" s="1"/>
    </row>
    <row r="25" spans="1:16" x14ac:dyDescent="0.25">
      <c r="A25" s="37"/>
      <c r="B25" s="7" t="s">
        <v>195</v>
      </c>
      <c r="C25" s="1"/>
      <c r="D25" s="1"/>
      <c r="F25" s="1"/>
      <c r="G25" s="1"/>
      <c r="I25" s="1"/>
      <c r="J25" s="1"/>
      <c r="L25" s="1"/>
      <c r="M25" s="1"/>
      <c r="O25" s="1"/>
      <c r="P25" s="1"/>
    </row>
    <row r="26" spans="1:16" x14ac:dyDescent="0.25">
      <c r="A26" s="37" t="s">
        <v>244</v>
      </c>
      <c r="B26" s="1" t="s">
        <v>11</v>
      </c>
      <c r="C26" s="1"/>
      <c r="D26" s="1">
        <v>2</v>
      </c>
      <c r="F26" s="1">
        <v>0</v>
      </c>
      <c r="G26" s="1">
        <f t="shared" si="0"/>
        <v>0</v>
      </c>
      <c r="I26" s="1">
        <v>0</v>
      </c>
      <c r="J26" s="1">
        <f t="shared" si="1"/>
        <v>0</v>
      </c>
      <c r="L26" s="1">
        <v>4</v>
      </c>
      <c r="M26" s="1">
        <f t="shared" si="2"/>
        <v>8</v>
      </c>
      <c r="O26" s="1">
        <v>8</v>
      </c>
      <c r="P26" s="1">
        <f>O26*D26</f>
        <v>16</v>
      </c>
    </row>
    <row r="27" spans="1:16" x14ac:dyDescent="0.25">
      <c r="A27" s="37" t="s">
        <v>245</v>
      </c>
      <c r="B27" s="1" t="s">
        <v>12</v>
      </c>
      <c r="C27" s="1"/>
      <c r="D27" s="1">
        <v>3</v>
      </c>
      <c r="F27" s="1">
        <v>0</v>
      </c>
      <c r="G27" s="1">
        <f t="shared" si="0"/>
        <v>0</v>
      </c>
      <c r="I27" s="1">
        <v>0</v>
      </c>
      <c r="J27" s="1">
        <f t="shared" si="1"/>
        <v>0</v>
      </c>
      <c r="L27" s="1">
        <v>4</v>
      </c>
      <c r="M27" s="1">
        <f t="shared" si="2"/>
        <v>12</v>
      </c>
      <c r="O27" s="1">
        <v>8</v>
      </c>
      <c r="P27" s="1">
        <f t="shared" ref="P27:P28" si="9">G27*O27</f>
        <v>0</v>
      </c>
    </row>
    <row r="28" spans="1:16" x14ac:dyDescent="0.25">
      <c r="A28" s="37" t="s">
        <v>246</v>
      </c>
      <c r="B28" s="1" t="s">
        <v>13</v>
      </c>
      <c r="C28" s="1"/>
      <c r="D28" s="1">
        <v>7</v>
      </c>
      <c r="F28" s="1">
        <v>0</v>
      </c>
      <c r="G28" s="1">
        <f t="shared" si="0"/>
        <v>0</v>
      </c>
      <c r="I28" s="1">
        <v>0</v>
      </c>
      <c r="J28" s="1">
        <f t="shared" si="1"/>
        <v>0</v>
      </c>
      <c r="L28" s="1">
        <v>4</v>
      </c>
      <c r="M28" s="1">
        <f t="shared" si="2"/>
        <v>28</v>
      </c>
      <c r="O28" s="1">
        <v>8</v>
      </c>
      <c r="P28" s="1">
        <f t="shared" si="9"/>
        <v>0</v>
      </c>
    </row>
    <row r="29" spans="1:16" x14ac:dyDescent="0.25">
      <c r="A29" s="37"/>
      <c r="B29" s="1"/>
      <c r="C29" s="1"/>
      <c r="D29" s="1"/>
      <c r="F29" s="1"/>
      <c r="G29" s="1"/>
      <c r="I29" s="1"/>
      <c r="J29" s="1"/>
      <c r="L29" s="1"/>
      <c r="M29" s="1"/>
      <c r="O29" s="1"/>
      <c r="P29" s="1"/>
    </row>
    <row r="30" spans="1:16" x14ac:dyDescent="0.25">
      <c r="B30" s="7" t="s">
        <v>199</v>
      </c>
      <c r="C30" s="1"/>
      <c r="D30" s="1"/>
      <c r="F30" s="1"/>
      <c r="G30" s="1"/>
      <c r="I30" s="1"/>
      <c r="J30" s="1"/>
      <c r="L30" s="1"/>
      <c r="M30" s="1"/>
      <c r="O30" s="1"/>
      <c r="P30" s="1"/>
    </row>
    <row r="31" spans="1:16" x14ac:dyDescent="0.25">
      <c r="A31" s="37" t="s">
        <v>247</v>
      </c>
      <c r="B31" s="1" t="s">
        <v>197</v>
      </c>
      <c r="C31" s="1"/>
      <c r="D31" s="1">
        <v>140</v>
      </c>
      <c r="F31" s="1"/>
      <c r="G31" s="1"/>
      <c r="I31" s="1"/>
      <c r="J31" s="1"/>
      <c r="L31" s="1"/>
      <c r="M31" s="1"/>
      <c r="O31" s="1"/>
      <c r="P31" s="1"/>
    </row>
    <row r="32" spans="1:16" x14ac:dyDescent="0.25">
      <c r="A32" s="37" t="s">
        <v>248</v>
      </c>
      <c r="B32" s="1"/>
      <c r="C32" s="1" t="s">
        <v>198</v>
      </c>
      <c r="D32" s="1">
        <v>120</v>
      </c>
      <c r="F32" s="1"/>
      <c r="G32" s="1">
        <f t="shared" ref="G32:G33" si="10">D32*F32</f>
        <v>0</v>
      </c>
      <c r="H32" s="4"/>
      <c r="I32" s="1"/>
      <c r="J32" s="1">
        <f t="shared" ref="J32:J33" si="11">D32*I32</f>
        <v>0</v>
      </c>
      <c r="L32" s="1">
        <v>1</v>
      </c>
      <c r="M32" s="1">
        <f t="shared" ref="M32:M35" si="12">D32*L32</f>
        <v>120</v>
      </c>
      <c r="O32" s="1">
        <v>2</v>
      </c>
      <c r="P32" s="1">
        <f>D32*O32</f>
        <v>240</v>
      </c>
    </row>
    <row r="33" spans="1:16" x14ac:dyDescent="0.25">
      <c r="A33" s="37" t="s">
        <v>249</v>
      </c>
      <c r="B33" s="1"/>
      <c r="C33" s="1" t="s">
        <v>16</v>
      </c>
      <c r="D33" s="1">
        <v>5</v>
      </c>
      <c r="F33" s="1"/>
      <c r="G33" s="1">
        <f t="shared" si="10"/>
        <v>0</v>
      </c>
      <c r="I33" s="1"/>
      <c r="J33" s="1">
        <f t="shared" si="11"/>
        <v>0</v>
      </c>
      <c r="L33" s="1">
        <v>1</v>
      </c>
      <c r="M33" s="1">
        <f t="shared" si="12"/>
        <v>5</v>
      </c>
      <c r="O33" s="1">
        <v>2</v>
      </c>
      <c r="P33" s="1">
        <f t="shared" ref="P33:P36" si="13">D33*O33</f>
        <v>10</v>
      </c>
    </row>
    <row r="34" spans="1:16" x14ac:dyDescent="0.25">
      <c r="A34" s="37" t="s">
        <v>250</v>
      </c>
      <c r="B34" s="1"/>
      <c r="C34" s="1" t="s">
        <v>17</v>
      </c>
      <c r="D34" s="1">
        <v>12</v>
      </c>
      <c r="F34" s="1"/>
      <c r="G34" s="1">
        <f t="shared" ref="G34" si="14">D34*F34</f>
        <v>0</v>
      </c>
      <c r="H34" s="4"/>
      <c r="I34" s="1"/>
      <c r="J34" s="1">
        <f t="shared" ref="J34" si="15">D34*I34</f>
        <v>0</v>
      </c>
      <c r="L34" s="1">
        <v>1</v>
      </c>
      <c r="M34" s="1">
        <f t="shared" si="12"/>
        <v>12</v>
      </c>
      <c r="O34" s="1">
        <v>2</v>
      </c>
      <c r="P34" s="1">
        <f t="shared" si="13"/>
        <v>24</v>
      </c>
    </row>
    <row r="35" spans="1:16" x14ac:dyDescent="0.25">
      <c r="A35" s="37" t="s">
        <v>251</v>
      </c>
      <c r="B35" s="1" t="s">
        <v>15</v>
      </c>
      <c r="C35" s="1"/>
      <c r="D35" s="1">
        <v>15</v>
      </c>
      <c r="F35" s="1"/>
      <c r="G35" s="1"/>
      <c r="I35" s="1"/>
      <c r="J35" s="1"/>
      <c r="L35" s="1">
        <v>1</v>
      </c>
      <c r="M35" s="1">
        <f t="shared" si="12"/>
        <v>15</v>
      </c>
      <c r="O35" s="1">
        <v>2</v>
      </c>
      <c r="P35" s="1">
        <f t="shared" si="13"/>
        <v>30</v>
      </c>
    </row>
    <row r="36" spans="1:16" x14ac:dyDescent="0.25">
      <c r="A36" s="37" t="s">
        <v>252</v>
      </c>
      <c r="B36" s="1" t="s">
        <v>14</v>
      </c>
      <c r="C36" s="1"/>
      <c r="D36" s="1">
        <v>4</v>
      </c>
      <c r="F36" s="1"/>
      <c r="G36" s="1">
        <f t="shared" si="0"/>
        <v>0</v>
      </c>
      <c r="I36" s="1"/>
      <c r="J36" s="1">
        <f t="shared" si="1"/>
        <v>0</v>
      </c>
      <c r="L36" s="1">
        <v>4</v>
      </c>
      <c r="M36" s="1">
        <f t="shared" si="2"/>
        <v>16</v>
      </c>
      <c r="O36" s="1">
        <v>8</v>
      </c>
      <c r="P36" s="1">
        <f t="shared" si="13"/>
        <v>32</v>
      </c>
    </row>
    <row r="37" spans="1:16" x14ac:dyDescent="0.25">
      <c r="A37" s="37"/>
      <c r="B37" s="1"/>
      <c r="C37" s="1"/>
      <c r="D37" s="1"/>
      <c r="F37" s="1"/>
      <c r="G37" s="1"/>
      <c r="H37" s="4"/>
      <c r="I37" s="1"/>
      <c r="J37" s="1"/>
      <c r="L37" s="1"/>
      <c r="M37" s="1"/>
      <c r="O37" s="1"/>
      <c r="P37" s="1"/>
    </row>
    <row r="38" spans="1:16" x14ac:dyDescent="0.25">
      <c r="A38" s="37"/>
      <c r="B38" s="7" t="s">
        <v>179</v>
      </c>
      <c r="C38" s="1"/>
      <c r="D38" s="1"/>
      <c r="F38" s="1"/>
      <c r="G38" s="1"/>
      <c r="H38" s="4"/>
      <c r="I38" s="1"/>
      <c r="J38" s="1"/>
      <c r="L38" s="1"/>
      <c r="M38" s="1"/>
      <c r="O38" s="1"/>
      <c r="P38" s="1"/>
    </row>
    <row r="39" spans="1:16" x14ac:dyDescent="0.25">
      <c r="A39" s="37" t="s">
        <v>340</v>
      </c>
      <c r="B39" s="1" t="s">
        <v>200</v>
      </c>
      <c r="C39" s="1"/>
      <c r="D39" s="1">
        <v>20</v>
      </c>
      <c r="F39" s="1"/>
      <c r="G39" s="1"/>
      <c r="H39" s="4"/>
      <c r="I39" s="1"/>
      <c r="J39" s="1"/>
      <c r="L39" s="1">
        <v>1</v>
      </c>
      <c r="M39" s="1">
        <f t="shared" si="2"/>
        <v>20</v>
      </c>
      <c r="O39" s="1">
        <v>1</v>
      </c>
      <c r="P39" s="1">
        <f t="shared" ref="P39:P40" si="16">G39*O39</f>
        <v>0</v>
      </c>
    </row>
    <row r="40" spans="1:16" x14ac:dyDescent="0.25">
      <c r="A40" s="37" t="s">
        <v>341</v>
      </c>
      <c r="B40" s="1" t="s">
        <v>201</v>
      </c>
      <c r="C40" s="1"/>
      <c r="D40" s="1">
        <f>D31*0.1</f>
        <v>14</v>
      </c>
      <c r="F40" s="1"/>
      <c r="G40" s="1"/>
      <c r="H40" s="4"/>
      <c r="I40" s="1"/>
      <c r="J40" s="1"/>
      <c r="L40" s="1">
        <v>1</v>
      </c>
      <c r="M40" s="1">
        <f t="shared" si="2"/>
        <v>14</v>
      </c>
      <c r="O40" s="1">
        <v>1</v>
      </c>
      <c r="P40" s="1">
        <f t="shared" si="16"/>
        <v>0</v>
      </c>
    </row>
    <row r="41" spans="1:16" x14ac:dyDescent="0.25">
      <c r="B41" s="1"/>
      <c r="C41" s="1"/>
      <c r="D41" s="1"/>
      <c r="F41" s="1"/>
      <c r="G41" s="1"/>
      <c r="H41" s="4"/>
      <c r="I41" s="1"/>
      <c r="J41" s="1"/>
      <c r="L41" s="1"/>
      <c r="M41" s="1"/>
      <c r="O41" s="1"/>
      <c r="P41" s="1"/>
    </row>
    <row r="42" spans="1:16" x14ac:dyDescent="0.25">
      <c r="B42" s="3" t="s">
        <v>18</v>
      </c>
      <c r="C42" s="3"/>
      <c r="D42" s="3"/>
      <c r="E42" s="5"/>
      <c r="F42" s="3"/>
      <c r="G42" s="3">
        <f>SUM(G6:G36)</f>
        <v>185.04</v>
      </c>
      <c r="H42" s="6"/>
      <c r="I42" s="3"/>
      <c r="J42" s="3">
        <f>SUM(J6:J36)</f>
        <v>355.53999999999996</v>
      </c>
      <c r="K42" s="5"/>
      <c r="L42" s="3"/>
      <c r="M42" s="7">
        <f>SUM(M6:M41)</f>
        <v>653.54</v>
      </c>
      <c r="O42" s="3"/>
      <c r="P42" s="7">
        <f>SUM(P6:P41)</f>
        <v>1111.08</v>
      </c>
    </row>
    <row r="43" spans="1:16" x14ac:dyDescent="0.25">
      <c r="A43" s="8"/>
      <c r="B43" s="1"/>
      <c r="C43" s="1"/>
      <c r="D43" s="1"/>
      <c r="F43" s="9"/>
      <c r="G43" s="9"/>
      <c r="H43" s="8"/>
      <c r="I43" s="9"/>
      <c r="J43" s="9"/>
      <c r="K43" s="8"/>
      <c r="L43" s="9"/>
      <c r="M43" s="1"/>
      <c r="O43" s="9"/>
      <c r="P43" s="1"/>
    </row>
    <row r="47" spans="1:16" x14ac:dyDescent="0.25">
      <c r="A47" s="17" t="s">
        <v>211</v>
      </c>
      <c r="B47" s="17" t="s">
        <v>209</v>
      </c>
      <c r="D47" s="10"/>
    </row>
    <row r="48" spans="1:16" x14ac:dyDescent="0.25">
      <c r="A48" s="17" t="s">
        <v>212</v>
      </c>
      <c r="B48" s="17" t="s">
        <v>210</v>
      </c>
      <c r="D48" s="10"/>
    </row>
    <row r="49" spans="4:4" x14ac:dyDescent="0.25">
      <c r="D49" s="10"/>
    </row>
  </sheetData>
  <mergeCells count="4">
    <mergeCell ref="F4:G4"/>
    <mergeCell ref="I4:J4"/>
    <mergeCell ref="L4:M4"/>
    <mergeCell ref="O4:P4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E588-292F-40F3-9171-46D650B9CD10}">
  <dimension ref="A1:Q43"/>
  <sheetViews>
    <sheetView topLeftCell="A12" workbookViewId="0">
      <selection activeCell="R37" sqref="R37"/>
    </sheetView>
  </sheetViews>
  <sheetFormatPr defaultRowHeight="16.5" x14ac:dyDescent="0.25"/>
  <cols>
    <col min="1" max="1" width="20.85546875" customWidth="1"/>
    <col min="2" max="2" width="27.140625" customWidth="1"/>
    <col min="3" max="3" width="21.85546875" customWidth="1"/>
  </cols>
  <sheetData>
    <row r="1" spans="1:17" x14ac:dyDescent="0.25">
      <c r="A1" s="17" t="s">
        <v>228</v>
      </c>
      <c r="B1" s="17" t="s">
        <v>226</v>
      </c>
    </row>
    <row r="2" spans="1:17" x14ac:dyDescent="0.25">
      <c r="A2" s="17" t="s">
        <v>225</v>
      </c>
      <c r="B2" s="17" t="s">
        <v>238</v>
      </c>
    </row>
    <row r="3" spans="1:17" ht="17.25" thickBot="1" x14ac:dyDescent="0.3">
      <c r="A3" s="17"/>
      <c r="B3" s="17"/>
    </row>
    <row r="4" spans="1:17" ht="17.25" thickBot="1" x14ac:dyDescent="0.3">
      <c r="A4" s="7" t="s">
        <v>237</v>
      </c>
      <c r="B4" s="17"/>
      <c r="C4" s="17" t="s">
        <v>187</v>
      </c>
      <c r="D4" s="39">
        <v>0.4</v>
      </c>
      <c r="E4" s="17"/>
      <c r="F4" s="47" t="s">
        <v>0</v>
      </c>
      <c r="G4" s="48"/>
      <c r="H4" s="17"/>
      <c r="I4" s="47" t="s">
        <v>1</v>
      </c>
      <c r="J4" s="48"/>
      <c r="K4" s="17"/>
      <c r="L4" s="47" t="s">
        <v>319</v>
      </c>
      <c r="M4" s="48"/>
      <c r="O4" s="47" t="s">
        <v>320</v>
      </c>
      <c r="P4" s="48"/>
    </row>
    <row r="5" spans="1:17" x14ac:dyDescent="0.25">
      <c r="A5" s="17"/>
      <c r="B5" s="7" t="s">
        <v>205</v>
      </c>
      <c r="C5" s="7" t="s">
        <v>181</v>
      </c>
      <c r="D5" s="7" t="s">
        <v>3</v>
      </c>
      <c r="E5" s="17"/>
      <c r="F5" s="18" t="s">
        <v>4</v>
      </c>
      <c r="G5" s="18" t="s">
        <v>5</v>
      </c>
      <c r="H5" s="17"/>
      <c r="I5" s="18" t="s">
        <v>4</v>
      </c>
      <c r="J5" s="18" t="s">
        <v>5</v>
      </c>
      <c r="K5" s="17"/>
      <c r="L5" s="18" t="s">
        <v>4</v>
      </c>
      <c r="M5" s="18" t="s">
        <v>5</v>
      </c>
      <c r="O5" s="18" t="s">
        <v>4</v>
      </c>
      <c r="P5" s="18" t="s">
        <v>5</v>
      </c>
    </row>
    <row r="6" spans="1:17" x14ac:dyDescent="0.25">
      <c r="A6" s="37" t="s">
        <v>261</v>
      </c>
      <c r="B6" s="1" t="s">
        <v>180</v>
      </c>
      <c r="C6" s="1" t="s">
        <v>182</v>
      </c>
      <c r="D6" s="1">
        <v>1</v>
      </c>
      <c r="F6" s="1">
        <v>50</v>
      </c>
      <c r="G6" s="1">
        <f>D6*F6</f>
        <v>50</v>
      </c>
      <c r="I6" s="1">
        <v>100</v>
      </c>
      <c r="J6" s="1">
        <f>D6*I6</f>
        <v>100</v>
      </c>
      <c r="L6" s="1">
        <v>100</v>
      </c>
      <c r="M6" s="1">
        <f>D6*L6</f>
        <v>100</v>
      </c>
      <c r="O6" s="1">
        <v>200</v>
      </c>
      <c r="P6" s="1">
        <f>O6*D6</f>
        <v>200</v>
      </c>
    </row>
    <row r="7" spans="1:17" x14ac:dyDescent="0.25">
      <c r="B7" s="7" t="s">
        <v>277</v>
      </c>
      <c r="C7" s="1"/>
      <c r="D7" s="1"/>
      <c r="F7" s="1"/>
      <c r="G7" s="1"/>
      <c r="I7" s="1"/>
      <c r="J7" s="1"/>
      <c r="L7" s="1"/>
      <c r="M7" s="1"/>
      <c r="O7" s="1"/>
      <c r="P7" s="1"/>
    </row>
    <row r="8" spans="1:17" x14ac:dyDescent="0.25">
      <c r="A8" s="37" t="s">
        <v>262</v>
      </c>
      <c r="B8" s="1" t="s">
        <v>206</v>
      </c>
      <c r="C8" s="1" t="s">
        <v>184</v>
      </c>
      <c r="D8" s="1">
        <v>32</v>
      </c>
      <c r="F8" s="1">
        <v>1</v>
      </c>
      <c r="G8" s="1">
        <f t="shared" ref="G8:G21" si="0">D8*F8</f>
        <v>32</v>
      </c>
      <c r="I8" s="1">
        <v>2</v>
      </c>
      <c r="J8" s="1">
        <f t="shared" ref="J8:J21" si="1">D8*I8</f>
        <v>64</v>
      </c>
      <c r="L8" s="1">
        <v>2</v>
      </c>
      <c r="M8" s="1">
        <f t="shared" ref="M8:M21" si="2">D8*L8</f>
        <v>64</v>
      </c>
      <c r="O8" s="1">
        <v>4</v>
      </c>
      <c r="P8" s="1">
        <f t="shared" ref="P8:P10" si="3">G8*O8</f>
        <v>128</v>
      </c>
      <c r="Q8" t="s">
        <v>323</v>
      </c>
    </row>
    <row r="9" spans="1:17" x14ac:dyDescent="0.25">
      <c r="A9" s="37" t="s">
        <v>263</v>
      </c>
      <c r="B9" s="1" t="s">
        <v>207</v>
      </c>
      <c r="C9" s="1" t="s">
        <v>184</v>
      </c>
      <c r="D9" s="1">
        <v>26</v>
      </c>
      <c r="F9" s="1">
        <v>3</v>
      </c>
      <c r="G9" s="1">
        <f t="shared" si="0"/>
        <v>78</v>
      </c>
      <c r="I9" s="1">
        <v>6</v>
      </c>
      <c r="J9" s="1">
        <f t="shared" si="1"/>
        <v>156</v>
      </c>
      <c r="L9" s="1">
        <v>6</v>
      </c>
      <c r="M9" s="1">
        <f t="shared" si="2"/>
        <v>156</v>
      </c>
      <c r="O9" s="1">
        <v>12</v>
      </c>
      <c r="P9" s="1">
        <f t="shared" si="3"/>
        <v>936</v>
      </c>
    </row>
    <row r="10" spans="1:17" x14ac:dyDescent="0.25">
      <c r="A10" s="37" t="s">
        <v>264</v>
      </c>
      <c r="B10" s="1" t="s">
        <v>208</v>
      </c>
      <c r="C10" s="1" t="s">
        <v>184</v>
      </c>
      <c r="D10" s="1">
        <v>28</v>
      </c>
      <c r="F10" s="1">
        <v>1</v>
      </c>
      <c r="G10" s="1">
        <f t="shared" si="0"/>
        <v>28</v>
      </c>
      <c r="I10" s="1">
        <v>1</v>
      </c>
      <c r="J10" s="1">
        <f t="shared" si="1"/>
        <v>28</v>
      </c>
      <c r="L10" s="1">
        <v>2</v>
      </c>
      <c r="M10" s="1">
        <f t="shared" si="2"/>
        <v>56</v>
      </c>
      <c r="O10" s="1">
        <v>4</v>
      </c>
      <c r="P10" s="1">
        <f t="shared" si="3"/>
        <v>112</v>
      </c>
    </row>
    <row r="11" spans="1:17" x14ac:dyDescent="0.25">
      <c r="B11" s="1"/>
      <c r="C11" s="1"/>
      <c r="D11" s="1"/>
      <c r="F11" s="1"/>
      <c r="G11" s="1"/>
      <c r="I11" s="1"/>
      <c r="J11" s="1"/>
      <c r="L11" s="1"/>
      <c r="M11" s="1"/>
      <c r="O11" s="1"/>
      <c r="P11" s="1"/>
    </row>
    <row r="12" spans="1:17" x14ac:dyDescent="0.25">
      <c r="B12" s="7" t="s">
        <v>215</v>
      </c>
      <c r="C12" s="1"/>
      <c r="D12" s="1"/>
      <c r="F12" s="1"/>
      <c r="G12" s="1"/>
      <c r="I12" s="1"/>
      <c r="J12" s="1"/>
      <c r="L12" s="1"/>
      <c r="M12" s="1"/>
      <c r="O12" s="1"/>
      <c r="P12" s="1"/>
    </row>
    <row r="13" spans="1:17" x14ac:dyDescent="0.25">
      <c r="B13" s="3"/>
      <c r="C13" s="1"/>
      <c r="D13" s="1"/>
      <c r="F13" s="1"/>
      <c r="G13" s="1"/>
      <c r="I13" s="1"/>
      <c r="J13" s="1"/>
      <c r="L13" s="1"/>
      <c r="M13" s="1"/>
      <c r="O13" s="1"/>
      <c r="P13" s="1"/>
    </row>
    <row r="14" spans="1:17" x14ac:dyDescent="0.25">
      <c r="A14" s="37" t="s">
        <v>265</v>
      </c>
      <c r="B14" s="1" t="s">
        <v>8</v>
      </c>
      <c r="C14" s="1" t="s">
        <v>202</v>
      </c>
      <c r="D14" s="1">
        <v>2</v>
      </c>
      <c r="F14" s="1">
        <v>0</v>
      </c>
      <c r="G14" s="1">
        <f t="shared" si="0"/>
        <v>0</v>
      </c>
      <c r="I14" s="1"/>
      <c r="J14" s="1">
        <f t="shared" si="1"/>
        <v>0</v>
      </c>
      <c r="L14" s="1">
        <v>4</v>
      </c>
      <c r="M14" s="1">
        <f t="shared" si="2"/>
        <v>8</v>
      </c>
      <c r="O14" s="1">
        <v>4</v>
      </c>
      <c r="P14" s="1">
        <f>O14*D14</f>
        <v>8</v>
      </c>
    </row>
    <row r="15" spans="1:17" x14ac:dyDescent="0.25">
      <c r="A15" s="37" t="s">
        <v>266</v>
      </c>
      <c r="B15" s="1" t="s">
        <v>9</v>
      </c>
      <c r="C15" s="1" t="s">
        <v>213</v>
      </c>
      <c r="D15" s="1">
        <v>3</v>
      </c>
      <c r="F15" s="1">
        <v>0</v>
      </c>
      <c r="G15" s="1">
        <f t="shared" si="0"/>
        <v>0</v>
      </c>
      <c r="I15" s="1"/>
      <c r="J15" s="1">
        <f t="shared" si="1"/>
        <v>0</v>
      </c>
      <c r="L15" s="1">
        <v>4</v>
      </c>
      <c r="M15" s="1">
        <f t="shared" si="2"/>
        <v>12</v>
      </c>
      <c r="O15" s="1">
        <v>4</v>
      </c>
      <c r="P15" s="1">
        <f t="shared" ref="P15:P21" si="4">O15*D15</f>
        <v>12</v>
      </c>
    </row>
    <row r="16" spans="1:17" x14ac:dyDescent="0.25">
      <c r="A16" s="37" t="s">
        <v>267</v>
      </c>
      <c r="B16" s="1" t="s">
        <v>10</v>
      </c>
      <c r="C16" s="1" t="s">
        <v>214</v>
      </c>
      <c r="D16" s="1">
        <v>7</v>
      </c>
      <c r="F16" s="1">
        <v>0</v>
      </c>
      <c r="G16" s="1">
        <f t="shared" si="0"/>
        <v>0</v>
      </c>
      <c r="I16" s="1"/>
      <c r="J16" s="1">
        <f t="shared" si="1"/>
        <v>0</v>
      </c>
      <c r="L16" s="1">
        <v>4</v>
      </c>
      <c r="M16" s="1">
        <f t="shared" si="2"/>
        <v>28</v>
      </c>
      <c r="O16" s="1">
        <v>4</v>
      </c>
      <c r="P16" s="1">
        <f t="shared" si="4"/>
        <v>28</v>
      </c>
    </row>
    <row r="17" spans="1:16" x14ac:dyDescent="0.25">
      <c r="A17" s="37"/>
      <c r="B17" s="1"/>
      <c r="C17" s="1"/>
      <c r="D17" s="1"/>
      <c r="F17" s="1"/>
      <c r="G17" s="1"/>
      <c r="I17" s="1"/>
      <c r="J17" s="1"/>
      <c r="L17" s="1"/>
      <c r="M17" s="1"/>
      <c r="O17" s="1"/>
      <c r="P17" s="1"/>
    </row>
    <row r="18" spans="1:16" x14ac:dyDescent="0.25">
      <c r="A18" s="37"/>
      <c r="B18" s="7" t="s">
        <v>216</v>
      </c>
      <c r="C18" s="1"/>
      <c r="D18" s="1"/>
      <c r="F18" s="1"/>
      <c r="G18" s="1"/>
      <c r="I18" s="1"/>
      <c r="J18" s="1"/>
      <c r="L18" s="1"/>
      <c r="M18" s="1"/>
      <c r="O18" s="1"/>
      <c r="P18" s="1"/>
    </row>
    <row r="19" spans="1:16" x14ac:dyDescent="0.25">
      <c r="A19" s="37" t="s">
        <v>268</v>
      </c>
      <c r="B19" s="1" t="s">
        <v>11</v>
      </c>
      <c r="C19" s="1"/>
      <c r="D19" s="1">
        <v>2</v>
      </c>
      <c r="F19" s="1">
        <v>0</v>
      </c>
      <c r="G19" s="1">
        <f t="shared" si="0"/>
        <v>0</v>
      </c>
      <c r="I19" s="1"/>
      <c r="J19" s="1">
        <f t="shared" si="1"/>
        <v>0</v>
      </c>
      <c r="L19" s="1">
        <v>4</v>
      </c>
      <c r="M19" s="1">
        <f t="shared" si="2"/>
        <v>8</v>
      </c>
      <c r="O19" s="1">
        <v>4</v>
      </c>
      <c r="P19" s="1">
        <f t="shared" si="4"/>
        <v>8</v>
      </c>
    </row>
    <row r="20" spans="1:16" x14ac:dyDescent="0.25">
      <c r="A20" s="37" t="s">
        <v>269</v>
      </c>
      <c r="B20" s="1" t="s">
        <v>12</v>
      </c>
      <c r="C20" s="1"/>
      <c r="D20" s="1">
        <v>3</v>
      </c>
      <c r="F20" s="1">
        <v>0</v>
      </c>
      <c r="G20" s="1">
        <f t="shared" si="0"/>
        <v>0</v>
      </c>
      <c r="I20" s="1"/>
      <c r="J20" s="1">
        <f t="shared" si="1"/>
        <v>0</v>
      </c>
      <c r="L20" s="1">
        <v>4</v>
      </c>
      <c r="M20" s="1">
        <f t="shared" si="2"/>
        <v>12</v>
      </c>
      <c r="O20" s="1">
        <v>4</v>
      </c>
      <c r="P20" s="1">
        <f t="shared" si="4"/>
        <v>12</v>
      </c>
    </row>
    <row r="21" spans="1:16" x14ac:dyDescent="0.25">
      <c r="A21" s="37" t="s">
        <v>270</v>
      </c>
      <c r="B21" s="1" t="s">
        <v>13</v>
      </c>
      <c r="C21" s="1"/>
      <c r="D21" s="1">
        <v>7</v>
      </c>
      <c r="F21" s="1">
        <v>0</v>
      </c>
      <c r="G21" s="1">
        <f t="shared" si="0"/>
        <v>0</v>
      </c>
      <c r="I21" s="1"/>
      <c r="J21" s="1">
        <f t="shared" si="1"/>
        <v>0</v>
      </c>
      <c r="L21" s="1">
        <v>4</v>
      </c>
      <c r="M21" s="1">
        <f t="shared" si="2"/>
        <v>28</v>
      </c>
      <c r="O21" s="1">
        <v>4</v>
      </c>
      <c r="P21" s="1">
        <f t="shared" si="4"/>
        <v>28</v>
      </c>
    </row>
    <row r="22" spans="1:16" x14ac:dyDescent="0.25">
      <c r="A22" s="37"/>
      <c r="B22" s="1"/>
      <c r="C22" s="1"/>
      <c r="D22" s="1"/>
      <c r="F22" s="1"/>
      <c r="G22" s="1"/>
      <c r="I22" s="1"/>
      <c r="J22" s="1"/>
      <c r="L22" s="1"/>
      <c r="M22" s="1"/>
      <c r="O22" s="1"/>
      <c r="P22" s="1"/>
    </row>
    <row r="23" spans="1:16" x14ac:dyDescent="0.25">
      <c r="A23" s="37"/>
      <c r="B23" s="1"/>
      <c r="C23" s="1"/>
      <c r="D23" s="1"/>
      <c r="F23" s="1"/>
      <c r="G23" s="1"/>
      <c r="I23" s="1"/>
      <c r="J23" s="1"/>
      <c r="L23" s="1"/>
      <c r="M23" s="1"/>
      <c r="O23" s="1"/>
      <c r="P23" s="1"/>
    </row>
    <row r="24" spans="1:16" x14ac:dyDescent="0.25">
      <c r="A24" s="37"/>
      <c r="B24" s="7" t="s">
        <v>199</v>
      </c>
      <c r="C24" s="1"/>
      <c r="D24" s="1"/>
      <c r="F24" s="1"/>
      <c r="G24" s="1"/>
      <c r="I24" s="1"/>
      <c r="J24" s="1"/>
      <c r="L24" s="1"/>
      <c r="M24" s="1"/>
      <c r="O24" s="1"/>
      <c r="P24" s="1"/>
    </row>
    <row r="25" spans="1:16" x14ac:dyDescent="0.25">
      <c r="A25" s="37" t="s">
        <v>271</v>
      </c>
      <c r="B25" s="1"/>
      <c r="C25" s="1" t="s">
        <v>198</v>
      </c>
      <c r="D25" s="1">
        <v>120</v>
      </c>
      <c r="F25" s="1"/>
      <c r="G25" s="1">
        <f t="shared" ref="G25:G27" si="5">D25*F25</f>
        <v>0</v>
      </c>
      <c r="H25" s="4"/>
      <c r="I25" s="1"/>
      <c r="J25" s="1">
        <f t="shared" ref="J25:J27" si="6">D25*I25</f>
        <v>0</v>
      </c>
      <c r="L25" s="1">
        <v>1</v>
      </c>
      <c r="M25" s="1">
        <f t="shared" ref="M25:M34" si="7">D25*L25</f>
        <v>120</v>
      </c>
      <c r="O25" s="1">
        <v>2</v>
      </c>
      <c r="P25" s="1">
        <f>D25*O25</f>
        <v>240</v>
      </c>
    </row>
    <row r="26" spans="1:16" x14ac:dyDescent="0.25">
      <c r="A26" s="37" t="s">
        <v>272</v>
      </c>
      <c r="B26" s="1"/>
      <c r="C26" s="1" t="s">
        <v>16</v>
      </c>
      <c r="D26" s="1">
        <v>5</v>
      </c>
      <c r="F26" s="1"/>
      <c r="G26" s="1">
        <f t="shared" si="5"/>
        <v>0</v>
      </c>
      <c r="I26" s="1"/>
      <c r="J26" s="1">
        <f t="shared" si="6"/>
        <v>0</v>
      </c>
      <c r="L26" s="1">
        <v>1</v>
      </c>
      <c r="M26" s="1">
        <f t="shared" si="7"/>
        <v>5</v>
      </c>
      <c r="O26" s="1">
        <v>2</v>
      </c>
      <c r="P26" s="1">
        <f t="shared" ref="P26:P34" si="8">D26*O26</f>
        <v>10</v>
      </c>
    </row>
    <row r="27" spans="1:16" x14ac:dyDescent="0.25">
      <c r="A27" s="37" t="s">
        <v>273</v>
      </c>
      <c r="B27" s="1"/>
      <c r="C27" s="1" t="s">
        <v>17</v>
      </c>
      <c r="D27" s="1">
        <v>12</v>
      </c>
      <c r="F27" s="1"/>
      <c r="G27" s="1">
        <f t="shared" si="5"/>
        <v>0</v>
      </c>
      <c r="H27" s="4"/>
      <c r="I27" s="1"/>
      <c r="J27" s="1">
        <f t="shared" si="6"/>
        <v>0</v>
      </c>
      <c r="L27" s="1">
        <v>1</v>
      </c>
      <c r="M27" s="1">
        <f t="shared" si="7"/>
        <v>12</v>
      </c>
      <c r="O27" s="1">
        <v>2</v>
      </c>
      <c r="P27" s="1">
        <f t="shared" si="8"/>
        <v>24</v>
      </c>
    </row>
    <row r="28" spans="1:16" x14ac:dyDescent="0.25">
      <c r="A28" s="37" t="s">
        <v>274</v>
      </c>
      <c r="B28" s="1" t="s">
        <v>15</v>
      </c>
      <c r="C28" s="1"/>
      <c r="D28" s="1">
        <v>15</v>
      </c>
      <c r="F28" s="1"/>
      <c r="G28" s="1">
        <v>0</v>
      </c>
      <c r="I28" s="1"/>
      <c r="J28" s="1">
        <v>0</v>
      </c>
      <c r="L28" s="1">
        <v>1</v>
      </c>
      <c r="M28" s="1">
        <f t="shared" si="7"/>
        <v>15</v>
      </c>
      <c r="O28" s="1">
        <v>2</v>
      </c>
      <c r="P28" s="1">
        <f t="shared" si="8"/>
        <v>30</v>
      </c>
    </row>
    <row r="29" spans="1:16" x14ac:dyDescent="0.25">
      <c r="A29" s="37" t="s">
        <v>275</v>
      </c>
      <c r="B29" s="1" t="s">
        <v>14</v>
      </c>
      <c r="C29" s="1"/>
      <c r="D29" s="1">
        <v>4</v>
      </c>
      <c r="F29" s="1"/>
      <c r="G29" s="1">
        <f t="shared" ref="G29" si="9">D29*F29</f>
        <v>0</v>
      </c>
      <c r="I29" s="1"/>
      <c r="J29" s="1">
        <f t="shared" ref="J29" si="10">D29*I29</f>
        <v>0</v>
      </c>
      <c r="L29" s="1">
        <v>1</v>
      </c>
      <c r="M29" s="1">
        <f t="shared" si="7"/>
        <v>4</v>
      </c>
      <c r="O29" s="1">
        <v>2</v>
      </c>
      <c r="P29" s="1">
        <f t="shared" si="8"/>
        <v>8</v>
      </c>
    </row>
    <row r="30" spans="1:16" x14ac:dyDescent="0.25">
      <c r="A30" s="37" t="s">
        <v>276</v>
      </c>
      <c r="B30" s="1" t="s">
        <v>197</v>
      </c>
      <c r="C30" s="1" t="s">
        <v>479</v>
      </c>
      <c r="D30" s="1">
        <v>140</v>
      </c>
      <c r="F30" s="1"/>
      <c r="G30" s="1"/>
      <c r="H30" s="4"/>
      <c r="I30" s="1"/>
      <c r="J30" s="1"/>
      <c r="L30" s="1"/>
      <c r="M30" s="1"/>
      <c r="O30" s="1"/>
      <c r="P30" s="1"/>
    </row>
    <row r="31" spans="1:16" x14ac:dyDescent="0.25">
      <c r="A31" s="37"/>
      <c r="B31" s="1"/>
      <c r="C31" s="1"/>
      <c r="D31" s="1"/>
      <c r="F31" s="1"/>
      <c r="G31" s="1"/>
      <c r="H31" s="4"/>
      <c r="I31" s="1"/>
      <c r="J31" s="1"/>
      <c r="L31" s="1"/>
      <c r="M31" s="1"/>
      <c r="O31" s="1"/>
      <c r="P31" s="1"/>
    </row>
    <row r="32" spans="1:16" x14ac:dyDescent="0.25">
      <c r="A32" s="37"/>
      <c r="B32" s="7" t="s">
        <v>179</v>
      </c>
      <c r="C32" s="1"/>
      <c r="D32" s="1"/>
      <c r="F32" s="1"/>
      <c r="G32" s="1"/>
      <c r="H32" s="4"/>
      <c r="I32" s="1"/>
      <c r="J32" s="1"/>
      <c r="L32" s="1"/>
      <c r="M32" s="1"/>
      <c r="O32" s="1"/>
      <c r="P32" s="1"/>
    </row>
    <row r="33" spans="1:16" x14ac:dyDescent="0.25">
      <c r="A33" s="37" t="s">
        <v>342</v>
      </c>
      <c r="B33" s="1" t="s">
        <v>200</v>
      </c>
      <c r="C33" s="1"/>
      <c r="D33" s="1">
        <v>20</v>
      </c>
      <c r="F33" s="1"/>
      <c r="G33" s="1"/>
      <c r="H33" s="4"/>
      <c r="I33" s="1"/>
      <c r="J33" s="1"/>
      <c r="L33" s="1">
        <v>1</v>
      </c>
      <c r="M33" s="1">
        <f t="shared" si="7"/>
        <v>20</v>
      </c>
      <c r="O33" s="1">
        <v>0</v>
      </c>
      <c r="P33" s="1">
        <f t="shared" si="8"/>
        <v>0</v>
      </c>
    </row>
    <row r="34" spans="1:16" x14ac:dyDescent="0.25">
      <c r="A34" s="37" t="s">
        <v>343</v>
      </c>
      <c r="B34" s="1" t="s">
        <v>201</v>
      </c>
      <c r="C34" s="1"/>
      <c r="D34" s="1">
        <f>D30*0.1</f>
        <v>14</v>
      </c>
      <c r="F34" s="1"/>
      <c r="G34" s="1"/>
      <c r="H34" s="4"/>
      <c r="I34" s="1"/>
      <c r="J34" s="1"/>
      <c r="L34" s="1">
        <v>1</v>
      </c>
      <c r="M34" s="1">
        <f>D34*L34</f>
        <v>14</v>
      </c>
      <c r="O34" s="1">
        <v>0</v>
      </c>
      <c r="P34" s="1">
        <f t="shared" si="8"/>
        <v>0</v>
      </c>
    </row>
    <row r="35" spans="1:16" x14ac:dyDescent="0.25">
      <c r="A35" s="37"/>
      <c r="B35" s="1"/>
      <c r="C35" s="1"/>
      <c r="D35" s="1"/>
      <c r="F35" s="1"/>
      <c r="G35" s="1"/>
      <c r="I35" s="1"/>
      <c r="J35" s="1"/>
      <c r="L35" s="1"/>
      <c r="M35" s="1"/>
      <c r="O35" s="1"/>
      <c r="P35" s="1"/>
    </row>
    <row r="36" spans="1:16" x14ac:dyDescent="0.25">
      <c r="A36" s="37"/>
      <c r="B36" s="1"/>
      <c r="C36" s="1"/>
      <c r="D36" s="1"/>
      <c r="F36" s="1"/>
      <c r="G36" s="1"/>
      <c r="I36" s="1"/>
      <c r="J36" s="1"/>
      <c r="L36" s="1"/>
      <c r="M36" s="1"/>
      <c r="O36" s="1"/>
      <c r="P36" s="1"/>
    </row>
    <row r="37" spans="1:16" x14ac:dyDescent="0.25">
      <c r="B37" s="1"/>
      <c r="C37" s="1"/>
      <c r="D37" s="1"/>
      <c r="F37" s="1"/>
      <c r="G37" s="1"/>
      <c r="H37" s="4"/>
      <c r="I37" s="1"/>
      <c r="J37" s="1"/>
      <c r="L37" s="1"/>
      <c r="M37" s="1"/>
      <c r="O37" s="1"/>
      <c r="P37" s="1"/>
    </row>
    <row r="38" spans="1:16" x14ac:dyDescent="0.25">
      <c r="B38" s="3" t="s">
        <v>18</v>
      </c>
      <c r="C38" s="3"/>
      <c r="D38" s="3"/>
      <c r="E38" s="5"/>
      <c r="F38" s="3"/>
      <c r="G38" s="3">
        <f>SUM(G6:G36)</f>
        <v>188</v>
      </c>
      <c r="H38" s="6"/>
      <c r="I38" s="3"/>
      <c r="J38" s="3">
        <f>SUM(J6:J36)</f>
        <v>348</v>
      </c>
      <c r="K38" s="5"/>
      <c r="L38" s="3"/>
      <c r="M38" s="7">
        <f>SUM(M6:M36)</f>
        <v>662</v>
      </c>
      <c r="O38" s="3"/>
      <c r="P38" s="7">
        <f>SUM(P6:P36)</f>
        <v>1784</v>
      </c>
    </row>
    <row r="39" spans="1:16" x14ac:dyDescent="0.25">
      <c r="A39" s="8"/>
      <c r="B39" s="1"/>
      <c r="C39" s="1"/>
      <c r="D39" s="1"/>
      <c r="F39" s="9"/>
      <c r="G39" s="9"/>
      <c r="H39" s="8"/>
      <c r="I39" s="9"/>
      <c r="J39" s="9"/>
      <c r="K39" s="8"/>
      <c r="L39" s="9"/>
      <c r="M39" s="1"/>
      <c r="O39" s="9"/>
      <c r="P39" s="1"/>
    </row>
    <row r="42" spans="1:16" x14ac:dyDescent="0.25">
      <c r="A42" s="17" t="s">
        <v>211</v>
      </c>
      <c r="B42" s="17" t="s">
        <v>209</v>
      </c>
      <c r="D42" s="10"/>
    </row>
    <row r="43" spans="1:16" x14ac:dyDescent="0.25">
      <c r="A43" s="17" t="s">
        <v>212</v>
      </c>
      <c r="B43" s="17" t="s">
        <v>210</v>
      </c>
      <c r="D43" s="10"/>
    </row>
  </sheetData>
  <sortState xmlns:xlrd2="http://schemas.microsoft.com/office/spreadsheetml/2017/richdata2" ref="A6:D10">
    <sortCondition ref="A7:A10"/>
  </sortState>
  <mergeCells count="4">
    <mergeCell ref="F4:G4"/>
    <mergeCell ref="I4:J4"/>
    <mergeCell ref="L4:M4"/>
    <mergeCell ref="O4:P4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B71C-38E4-4242-BB65-133B88BAA046}">
  <dimension ref="A1:R28"/>
  <sheetViews>
    <sheetView workbookViewId="0">
      <selection activeCell="B18" sqref="B18:B21"/>
    </sheetView>
  </sheetViews>
  <sheetFormatPr defaultRowHeight="16.5" x14ac:dyDescent="0.25"/>
  <cols>
    <col min="1" max="1" width="22.5703125" customWidth="1"/>
    <col min="2" max="2" width="15.85546875" customWidth="1"/>
    <col min="3" max="3" width="29.140625" customWidth="1"/>
    <col min="4" max="4" width="27.7109375" customWidth="1"/>
  </cols>
  <sheetData>
    <row r="1" spans="1:18" x14ac:dyDescent="0.25">
      <c r="A1" s="17" t="s">
        <v>228</v>
      </c>
      <c r="B1" s="17"/>
      <c r="C1" s="17" t="s">
        <v>279</v>
      </c>
    </row>
    <row r="2" spans="1:18" x14ac:dyDescent="0.25">
      <c r="A2" s="17" t="s">
        <v>225</v>
      </c>
      <c r="B2" s="17"/>
      <c r="C2" s="17" t="s">
        <v>280</v>
      </c>
    </row>
    <row r="3" spans="1:18" ht="17.25" thickBot="1" x14ac:dyDescent="0.3"/>
    <row r="4" spans="1:18" ht="17.25" thickBot="1" x14ac:dyDescent="0.3">
      <c r="A4" s="7" t="s">
        <v>217</v>
      </c>
      <c r="B4" s="17"/>
      <c r="C4" s="38"/>
      <c r="D4" s="17" t="s">
        <v>187</v>
      </c>
      <c r="E4" s="39">
        <v>0.4</v>
      </c>
      <c r="G4" s="47" t="s">
        <v>0</v>
      </c>
      <c r="H4" s="48"/>
      <c r="J4" s="47" t="s">
        <v>1</v>
      </c>
      <c r="K4" s="48"/>
      <c r="M4" s="47" t="s">
        <v>25</v>
      </c>
      <c r="N4" s="48"/>
      <c r="P4" s="47" t="s">
        <v>320</v>
      </c>
      <c r="Q4" s="48"/>
    </row>
    <row r="5" spans="1:18" x14ac:dyDescent="0.25">
      <c r="B5" s="7" t="s">
        <v>331</v>
      </c>
      <c r="C5" s="7" t="s">
        <v>186</v>
      </c>
      <c r="D5" s="7" t="s">
        <v>181</v>
      </c>
      <c r="E5" s="7" t="s">
        <v>3</v>
      </c>
      <c r="G5" s="18" t="s">
        <v>4</v>
      </c>
      <c r="H5" s="18" t="s">
        <v>5</v>
      </c>
      <c r="J5" s="18" t="s">
        <v>4</v>
      </c>
      <c r="K5" s="18" t="s">
        <v>5</v>
      </c>
      <c r="M5" s="18" t="s">
        <v>4</v>
      </c>
      <c r="N5" s="18" t="s">
        <v>5</v>
      </c>
      <c r="P5" s="18" t="s">
        <v>4</v>
      </c>
      <c r="Q5" s="18" t="s">
        <v>5</v>
      </c>
    </row>
    <row r="6" spans="1:18" x14ac:dyDescent="0.25">
      <c r="B6" s="1"/>
      <c r="C6" s="7"/>
      <c r="D6" s="7"/>
      <c r="E6" s="7"/>
      <c r="G6" s="18"/>
      <c r="H6" s="18"/>
      <c r="J6" s="18"/>
      <c r="K6" s="18"/>
      <c r="M6" s="18"/>
      <c r="N6" s="18"/>
      <c r="P6" s="18"/>
      <c r="Q6" s="18"/>
    </row>
    <row r="7" spans="1:18" x14ac:dyDescent="0.25">
      <c r="A7" s="37"/>
      <c r="B7" s="41"/>
      <c r="C7" s="7" t="s">
        <v>217</v>
      </c>
      <c r="D7" s="1"/>
      <c r="E7" s="1"/>
      <c r="G7" s="1"/>
      <c r="H7" s="1"/>
      <c r="J7" s="1"/>
      <c r="K7" s="1"/>
      <c r="M7" s="1"/>
      <c r="N7" s="1"/>
      <c r="P7" s="1"/>
      <c r="Q7" s="1"/>
    </row>
    <row r="8" spans="1:18" x14ac:dyDescent="0.25">
      <c r="A8" s="37"/>
      <c r="B8" s="41" t="s">
        <v>506</v>
      </c>
      <c r="C8" s="1" t="s">
        <v>218</v>
      </c>
      <c r="D8" s="1" t="s">
        <v>221</v>
      </c>
      <c r="E8" s="1">
        <v>150</v>
      </c>
      <c r="G8" s="1">
        <v>1</v>
      </c>
      <c r="H8" s="1">
        <f>E8</f>
        <v>150</v>
      </c>
      <c r="J8" s="1">
        <v>2</v>
      </c>
      <c r="K8" s="1">
        <f>J8*E8</f>
        <v>300</v>
      </c>
      <c r="M8" s="1">
        <v>0</v>
      </c>
      <c r="N8" s="1">
        <v>0</v>
      </c>
      <c r="P8" s="1">
        <v>0</v>
      </c>
      <c r="Q8" s="1">
        <v>0</v>
      </c>
    </row>
    <row r="9" spans="1:18" x14ac:dyDescent="0.25">
      <c r="A9" s="37" t="s">
        <v>175</v>
      </c>
      <c r="B9" s="41" t="s">
        <v>175</v>
      </c>
      <c r="C9" s="1"/>
      <c r="D9" s="1"/>
      <c r="E9" s="1"/>
      <c r="G9" s="1"/>
      <c r="H9" s="1"/>
      <c r="J9" s="1"/>
      <c r="K9" s="1">
        <f t="shared" ref="K9:K17" si="0">J9*E9</f>
        <v>0</v>
      </c>
      <c r="M9" s="1"/>
      <c r="N9" s="1"/>
      <c r="P9" s="1"/>
      <c r="Q9" s="1"/>
    </row>
    <row r="10" spans="1:18" x14ac:dyDescent="0.25">
      <c r="A10" s="37"/>
      <c r="B10" s="41"/>
      <c r="C10" s="1"/>
      <c r="D10" s="1"/>
      <c r="E10" s="1"/>
      <c r="G10" s="1"/>
      <c r="H10" s="1"/>
      <c r="J10" s="1"/>
      <c r="K10" s="1">
        <f t="shared" si="0"/>
        <v>0</v>
      </c>
      <c r="M10" s="1"/>
      <c r="N10" s="1"/>
      <c r="P10" s="1"/>
      <c r="Q10" s="1"/>
    </row>
    <row r="11" spans="1:18" x14ac:dyDescent="0.25">
      <c r="A11" s="37"/>
      <c r="B11" s="41" t="s">
        <v>278</v>
      </c>
      <c r="C11" s="1" t="s">
        <v>219</v>
      </c>
      <c r="D11" s="1" t="s">
        <v>222</v>
      </c>
      <c r="E11" s="1">
        <v>650</v>
      </c>
      <c r="G11" s="1">
        <v>0</v>
      </c>
      <c r="H11" s="1">
        <v>0</v>
      </c>
      <c r="J11" s="1">
        <v>0</v>
      </c>
      <c r="K11" s="1">
        <f t="shared" si="0"/>
        <v>0</v>
      </c>
      <c r="M11" s="1">
        <v>1</v>
      </c>
      <c r="N11" s="1">
        <f>E11*M11</f>
        <v>650</v>
      </c>
      <c r="P11" s="1">
        <v>0</v>
      </c>
      <c r="Q11" s="1">
        <v>0</v>
      </c>
    </row>
    <row r="12" spans="1:18" x14ac:dyDescent="0.25">
      <c r="A12" s="37"/>
      <c r="B12" s="41"/>
      <c r="C12" s="1"/>
      <c r="D12" s="1"/>
      <c r="E12" s="1"/>
      <c r="G12" s="1"/>
      <c r="H12" s="1"/>
      <c r="J12" s="1"/>
      <c r="K12" s="1">
        <f t="shared" si="0"/>
        <v>0</v>
      </c>
      <c r="M12" s="1"/>
      <c r="N12" s="1"/>
      <c r="P12" s="1"/>
      <c r="Q12" s="1"/>
    </row>
    <row r="13" spans="1:18" x14ac:dyDescent="0.25">
      <c r="A13" s="37"/>
      <c r="B13" s="41" t="s">
        <v>507</v>
      </c>
      <c r="C13" s="1" t="s">
        <v>220</v>
      </c>
      <c r="D13" s="1" t="s">
        <v>223</v>
      </c>
      <c r="E13" s="1">
        <v>1200</v>
      </c>
      <c r="G13" s="1">
        <v>0</v>
      </c>
      <c r="H13" s="1">
        <v>0</v>
      </c>
      <c r="J13" s="1">
        <v>0</v>
      </c>
      <c r="K13" s="1">
        <f t="shared" si="0"/>
        <v>0</v>
      </c>
      <c r="M13" s="1">
        <v>0</v>
      </c>
      <c r="N13" s="1">
        <v>0</v>
      </c>
      <c r="P13" s="1">
        <v>1</v>
      </c>
      <c r="Q13" s="1">
        <f>E13*P13</f>
        <v>1200</v>
      </c>
    </row>
    <row r="14" spans="1:18" x14ac:dyDescent="0.25">
      <c r="A14" s="37"/>
      <c r="B14" s="41"/>
      <c r="C14" s="1" t="s">
        <v>67</v>
      </c>
      <c r="D14" s="1"/>
      <c r="E14" s="1"/>
      <c r="G14" s="1"/>
      <c r="I14" s="1">
        <f>SUM(H8:H13)</f>
        <v>150</v>
      </c>
      <c r="J14" s="1"/>
      <c r="L14" s="1">
        <f>SUM(K8:K13)</f>
        <v>300</v>
      </c>
      <c r="M14" s="1"/>
      <c r="O14" s="1">
        <f>SUM(N8:N13)</f>
        <v>650</v>
      </c>
      <c r="P14" s="1"/>
      <c r="R14" s="1">
        <f>SUM(Q8:Q13)</f>
        <v>1200</v>
      </c>
    </row>
    <row r="15" spans="1:18" x14ac:dyDescent="0.25">
      <c r="A15" s="37"/>
      <c r="B15" s="41"/>
      <c r="C15" s="1"/>
      <c r="D15" s="1"/>
      <c r="E15" s="1"/>
      <c r="G15" s="1"/>
      <c r="I15" s="4"/>
      <c r="J15" s="1"/>
      <c r="K15" s="1"/>
      <c r="M15" s="1"/>
      <c r="N15" s="1"/>
      <c r="P15" s="1"/>
      <c r="Q15" s="1"/>
    </row>
    <row r="16" spans="1:18" x14ac:dyDescent="0.25">
      <c r="A16" s="37"/>
      <c r="B16" s="41"/>
      <c r="C16" s="7" t="s">
        <v>179</v>
      </c>
      <c r="D16" s="1"/>
      <c r="E16" s="1"/>
      <c r="G16" s="1"/>
      <c r="H16" s="1"/>
      <c r="I16" s="4"/>
      <c r="J16" s="1"/>
      <c r="K16" s="1"/>
      <c r="M16" s="1"/>
      <c r="N16" s="1"/>
      <c r="P16" s="1"/>
      <c r="Q16" s="1"/>
    </row>
    <row r="17" spans="1:17" x14ac:dyDescent="0.25">
      <c r="A17" s="37"/>
      <c r="B17" s="41" t="s">
        <v>508</v>
      </c>
      <c r="C17" s="1" t="s">
        <v>200</v>
      </c>
      <c r="D17" s="1"/>
      <c r="E17" s="1">
        <v>20</v>
      </c>
      <c r="G17" s="1">
        <v>1</v>
      </c>
      <c r="H17" s="1">
        <f>E17*G17</f>
        <v>20</v>
      </c>
      <c r="I17" s="4"/>
      <c r="J17" s="1">
        <v>1</v>
      </c>
      <c r="K17" s="1">
        <f t="shared" si="0"/>
        <v>20</v>
      </c>
      <c r="M17" s="1">
        <v>1</v>
      </c>
      <c r="N17" s="1">
        <f t="shared" ref="N17" si="1">E17*M17</f>
        <v>20</v>
      </c>
      <c r="P17" s="1">
        <v>1</v>
      </c>
      <c r="Q17" s="1">
        <f t="shared" ref="Q17" si="2">H17*P17</f>
        <v>20</v>
      </c>
    </row>
    <row r="18" spans="1:17" x14ac:dyDescent="0.25">
      <c r="A18" s="37"/>
      <c r="B18" s="41" t="s">
        <v>509</v>
      </c>
      <c r="C18" s="1" t="s">
        <v>480</v>
      </c>
      <c r="D18" s="1"/>
      <c r="E18" s="1"/>
      <c r="G18" s="1">
        <v>1</v>
      </c>
      <c r="H18" s="1">
        <f>I14*0.1</f>
        <v>15</v>
      </c>
      <c r="I18" s="4"/>
      <c r="J18" s="1"/>
      <c r="K18" s="1"/>
      <c r="M18" s="1"/>
      <c r="N18" s="1"/>
      <c r="P18" s="1"/>
      <c r="Q18" s="1"/>
    </row>
    <row r="19" spans="1:17" x14ac:dyDescent="0.25">
      <c r="A19" s="37"/>
      <c r="B19" s="41" t="s">
        <v>510</v>
      </c>
      <c r="C19" s="1" t="s">
        <v>481</v>
      </c>
      <c r="D19" s="1"/>
      <c r="E19" s="1"/>
      <c r="G19" s="1"/>
      <c r="H19" s="1"/>
      <c r="I19" s="4"/>
      <c r="J19" s="1">
        <v>1</v>
      </c>
      <c r="K19" s="1">
        <f>L14*0.1</f>
        <v>30</v>
      </c>
      <c r="M19" s="1"/>
      <c r="N19" s="1"/>
      <c r="P19" s="1"/>
      <c r="Q19" s="1"/>
    </row>
    <row r="20" spans="1:17" x14ac:dyDescent="0.25">
      <c r="A20" s="37"/>
      <c r="B20" s="41" t="s">
        <v>346</v>
      </c>
      <c r="C20" s="1" t="s">
        <v>482</v>
      </c>
      <c r="D20" s="1"/>
      <c r="E20" s="1"/>
      <c r="G20" s="1"/>
      <c r="H20" s="1"/>
      <c r="I20" s="4"/>
      <c r="J20" s="1"/>
      <c r="K20" s="1"/>
      <c r="M20" s="1">
        <v>1</v>
      </c>
      <c r="N20" s="1">
        <f>O14*0.1</f>
        <v>65</v>
      </c>
      <c r="P20" s="1"/>
      <c r="Q20" s="1"/>
    </row>
    <row r="21" spans="1:17" x14ac:dyDescent="0.25">
      <c r="A21" s="37"/>
      <c r="B21" s="41" t="s">
        <v>484</v>
      </c>
      <c r="C21" s="1" t="s">
        <v>483</v>
      </c>
      <c r="D21" s="1"/>
      <c r="E21" s="1"/>
      <c r="G21" s="1"/>
      <c r="H21" s="1"/>
      <c r="I21" s="4"/>
      <c r="J21" s="1"/>
      <c r="K21" s="1"/>
      <c r="M21" s="1"/>
      <c r="N21" s="1"/>
      <c r="P21" s="1">
        <v>1</v>
      </c>
      <c r="Q21" s="1">
        <f>R14*0.1</f>
        <v>120</v>
      </c>
    </row>
    <row r="22" spans="1:17" x14ac:dyDescent="0.25">
      <c r="A22" s="37"/>
      <c r="B22" s="41"/>
      <c r="C22" s="1"/>
      <c r="D22" s="1"/>
      <c r="E22" s="1"/>
      <c r="G22" s="1"/>
      <c r="H22" s="1"/>
      <c r="I22" s="4"/>
      <c r="J22" s="1"/>
      <c r="K22" s="1"/>
      <c r="M22" s="1"/>
      <c r="N22" s="1"/>
      <c r="P22" s="1"/>
      <c r="Q22" s="1"/>
    </row>
    <row r="23" spans="1:17" x14ac:dyDescent="0.25">
      <c r="A23" s="37"/>
      <c r="B23" s="41"/>
      <c r="C23" s="1"/>
      <c r="D23" s="1"/>
      <c r="E23" s="1"/>
      <c r="G23" s="1"/>
      <c r="H23" s="1"/>
      <c r="I23" s="4"/>
      <c r="J23" s="1"/>
      <c r="K23" s="1"/>
      <c r="M23" s="1"/>
      <c r="N23" s="1"/>
      <c r="P23" s="1"/>
      <c r="Q23" s="1"/>
    </row>
    <row r="24" spans="1:17" s="17" customFormat="1" x14ac:dyDescent="0.25">
      <c r="B24" s="7"/>
      <c r="C24" s="7" t="s">
        <v>18</v>
      </c>
      <c r="D24" s="7"/>
      <c r="E24" s="7"/>
      <c r="G24" s="7"/>
      <c r="H24" s="7">
        <f>SUM(H8:H20)</f>
        <v>185</v>
      </c>
      <c r="I24" s="40"/>
      <c r="J24" s="7"/>
      <c r="K24" s="7">
        <f>SUM(K8:K20)</f>
        <v>350</v>
      </c>
      <c r="M24" s="7"/>
      <c r="N24" s="7">
        <f>SUM(N7:N20)</f>
        <v>735</v>
      </c>
      <c r="P24" s="7"/>
      <c r="Q24" s="7">
        <f>SUM(Q7:Q20)</f>
        <v>1220</v>
      </c>
    </row>
    <row r="25" spans="1:17" x14ac:dyDescent="0.25">
      <c r="A25" s="8"/>
      <c r="B25" s="9"/>
      <c r="C25" s="1"/>
      <c r="D25" s="1"/>
      <c r="E25" s="1"/>
      <c r="G25" s="9"/>
      <c r="H25" s="9"/>
      <c r="I25" s="8"/>
      <c r="J25" s="9"/>
      <c r="K25" s="9"/>
      <c r="L25" s="8"/>
      <c r="M25" s="9"/>
      <c r="N25" s="1"/>
      <c r="P25" s="9"/>
      <c r="Q25" s="1"/>
    </row>
    <row r="27" spans="1:17" x14ac:dyDescent="0.25">
      <c r="A27" s="17" t="s">
        <v>211</v>
      </c>
      <c r="B27" s="17"/>
      <c r="C27" s="17" t="s">
        <v>318</v>
      </c>
    </row>
    <row r="28" spans="1:17" x14ac:dyDescent="0.25">
      <c r="A28" s="17"/>
      <c r="B28" s="17"/>
      <c r="C28" s="17"/>
    </row>
  </sheetData>
  <mergeCells count="4">
    <mergeCell ref="G4:H4"/>
    <mergeCell ref="J4:K4"/>
    <mergeCell ref="M4:N4"/>
    <mergeCell ref="P4:Q4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AB80-9CEC-4D46-8F3A-780D2A1DE202}">
  <dimension ref="A1:Q29"/>
  <sheetViews>
    <sheetView workbookViewId="0">
      <selection activeCell="A20" sqref="A20:A23"/>
    </sheetView>
  </sheetViews>
  <sheetFormatPr defaultRowHeight="16.5" x14ac:dyDescent="0.25"/>
  <cols>
    <col min="1" max="1" width="21.7109375" customWidth="1"/>
    <col min="2" max="2" width="23.42578125" customWidth="1"/>
    <col min="3" max="3" width="31.28515625" customWidth="1"/>
  </cols>
  <sheetData>
    <row r="1" spans="1:17" x14ac:dyDescent="0.25">
      <c r="A1" s="17" t="s">
        <v>228</v>
      </c>
      <c r="B1" s="17" t="s">
        <v>322</v>
      </c>
    </row>
    <row r="2" spans="1:17" x14ac:dyDescent="0.25">
      <c r="A2" s="17" t="s">
        <v>225</v>
      </c>
      <c r="B2" s="17" t="s">
        <v>304</v>
      </c>
    </row>
    <row r="3" spans="1:17" ht="17.25" thickBot="1" x14ac:dyDescent="0.3"/>
    <row r="4" spans="1:17" ht="17.25" thickBot="1" x14ac:dyDescent="0.3">
      <c r="A4" s="7" t="s">
        <v>305</v>
      </c>
      <c r="B4" s="38"/>
      <c r="C4" s="17" t="s">
        <v>187</v>
      </c>
      <c r="D4" s="39">
        <v>0.4</v>
      </c>
      <c r="F4" s="47" t="s">
        <v>0</v>
      </c>
      <c r="G4" s="48"/>
      <c r="I4" s="47" t="s">
        <v>1</v>
      </c>
      <c r="J4" s="48"/>
      <c r="L4" s="47" t="s">
        <v>25</v>
      </c>
      <c r="M4" s="48"/>
      <c r="O4" s="47" t="s">
        <v>320</v>
      </c>
      <c r="P4" s="48"/>
    </row>
    <row r="5" spans="1:17" x14ac:dyDescent="0.25">
      <c r="B5" s="7" t="s">
        <v>186</v>
      </c>
      <c r="C5" s="7" t="s">
        <v>181</v>
      </c>
      <c r="D5" s="7" t="s">
        <v>3</v>
      </c>
      <c r="F5" s="18" t="s">
        <v>4</v>
      </c>
      <c r="G5" s="18" t="s">
        <v>5</v>
      </c>
      <c r="I5" s="18" t="s">
        <v>4</v>
      </c>
      <c r="J5" s="18" t="s">
        <v>5</v>
      </c>
      <c r="L5" s="18" t="s">
        <v>4</v>
      </c>
      <c r="M5" s="18" t="s">
        <v>5</v>
      </c>
      <c r="O5" s="18" t="s">
        <v>4</v>
      </c>
      <c r="P5" s="18" t="s">
        <v>5</v>
      </c>
    </row>
    <row r="6" spans="1:17" x14ac:dyDescent="0.25">
      <c r="B6" s="7"/>
      <c r="C6" s="7"/>
      <c r="D6" s="7"/>
      <c r="F6" s="18"/>
      <c r="G6" s="18"/>
      <c r="I6" s="18"/>
      <c r="J6" s="18"/>
      <c r="L6" s="18"/>
      <c r="M6" s="18"/>
      <c r="O6" s="18"/>
      <c r="P6" s="18"/>
    </row>
    <row r="7" spans="1:17" x14ac:dyDescent="0.25">
      <c r="A7" s="37" t="s">
        <v>353</v>
      </c>
      <c r="B7" s="1" t="s">
        <v>306</v>
      </c>
      <c r="C7" s="1" t="s">
        <v>324</v>
      </c>
      <c r="D7" s="1">
        <v>145</v>
      </c>
      <c r="F7" s="1">
        <v>1</v>
      </c>
      <c r="G7" s="1">
        <f>F7*D7</f>
        <v>145</v>
      </c>
      <c r="I7" s="1">
        <v>1</v>
      </c>
      <c r="J7" s="1">
        <f>I7*D7</f>
        <v>145</v>
      </c>
      <c r="L7" s="1">
        <v>1</v>
      </c>
      <c r="M7" s="1">
        <f>L7*D7</f>
        <v>145</v>
      </c>
      <c r="O7" s="1">
        <v>0</v>
      </c>
      <c r="P7" s="1">
        <f>O7*D7</f>
        <v>0</v>
      </c>
    </row>
    <row r="8" spans="1:17" x14ac:dyDescent="0.25">
      <c r="A8" s="37" t="s">
        <v>354</v>
      </c>
      <c r="B8" s="1" t="s">
        <v>306</v>
      </c>
      <c r="C8" s="1" t="s">
        <v>326</v>
      </c>
      <c r="D8" s="1">
        <v>200</v>
      </c>
      <c r="F8" s="1">
        <v>0</v>
      </c>
      <c r="G8" s="1">
        <f t="shared" ref="G8:G15" si="0">F8*D8</f>
        <v>0</v>
      </c>
      <c r="I8" s="1">
        <v>0</v>
      </c>
      <c r="J8" s="1">
        <f t="shared" ref="J8:J15" si="1">I8*D8</f>
        <v>0</v>
      </c>
      <c r="L8" s="1">
        <v>0</v>
      </c>
      <c r="M8" s="1">
        <f t="shared" ref="M8:M15" si="2">L8*D8</f>
        <v>0</v>
      </c>
      <c r="O8" s="1">
        <v>1</v>
      </c>
      <c r="P8" s="1">
        <f t="shared" ref="P8:P15" si="3">O8*D8</f>
        <v>200</v>
      </c>
    </row>
    <row r="9" spans="1:17" x14ac:dyDescent="0.25">
      <c r="A9" s="37" t="s">
        <v>355</v>
      </c>
      <c r="B9" s="1" t="s">
        <v>307</v>
      </c>
      <c r="C9" s="1" t="s">
        <v>308</v>
      </c>
      <c r="D9" s="1">
        <v>32</v>
      </c>
      <c r="F9" s="1">
        <v>1</v>
      </c>
      <c r="G9" s="1">
        <f t="shared" si="0"/>
        <v>32</v>
      </c>
      <c r="I9" s="1">
        <v>0</v>
      </c>
      <c r="J9" s="1">
        <f t="shared" si="1"/>
        <v>0</v>
      </c>
      <c r="L9" s="1">
        <v>1</v>
      </c>
      <c r="M9" s="1">
        <f t="shared" si="2"/>
        <v>32</v>
      </c>
      <c r="O9" s="1">
        <v>0</v>
      </c>
      <c r="P9" s="1">
        <f t="shared" si="3"/>
        <v>0</v>
      </c>
    </row>
    <row r="10" spans="1:17" x14ac:dyDescent="0.25">
      <c r="A10" s="37" t="s">
        <v>356</v>
      </c>
      <c r="B10" s="1" t="s">
        <v>307</v>
      </c>
      <c r="C10" s="1" t="s">
        <v>327</v>
      </c>
      <c r="D10" s="1">
        <v>125</v>
      </c>
      <c r="F10" s="1">
        <v>0</v>
      </c>
      <c r="G10" s="1">
        <f t="shared" si="0"/>
        <v>0</v>
      </c>
      <c r="I10" s="1">
        <v>0</v>
      </c>
      <c r="J10" s="1">
        <f t="shared" si="1"/>
        <v>0</v>
      </c>
      <c r="L10" s="1">
        <v>0</v>
      </c>
      <c r="M10" s="1">
        <f t="shared" si="2"/>
        <v>0</v>
      </c>
      <c r="O10" s="1">
        <v>1</v>
      </c>
      <c r="P10" s="1">
        <f t="shared" si="3"/>
        <v>125</v>
      </c>
    </row>
    <row r="11" spans="1:17" x14ac:dyDescent="0.25">
      <c r="A11" s="37" t="s">
        <v>357</v>
      </c>
      <c r="B11" s="1" t="s">
        <v>309</v>
      </c>
      <c r="C11" s="1" t="s">
        <v>311</v>
      </c>
      <c r="D11" s="1">
        <v>180</v>
      </c>
      <c r="F11" s="1">
        <v>0</v>
      </c>
      <c r="G11" s="1">
        <f t="shared" si="0"/>
        <v>0</v>
      </c>
      <c r="I11" s="1">
        <v>1</v>
      </c>
      <c r="J11" s="1">
        <f t="shared" si="1"/>
        <v>180</v>
      </c>
      <c r="L11" s="1">
        <v>2</v>
      </c>
      <c r="M11" s="1">
        <f t="shared" si="2"/>
        <v>360</v>
      </c>
      <c r="O11" s="1">
        <v>2</v>
      </c>
      <c r="P11" s="1">
        <f t="shared" si="3"/>
        <v>360</v>
      </c>
    </row>
    <row r="12" spans="1:17" x14ac:dyDescent="0.25">
      <c r="A12" s="37" t="s">
        <v>358</v>
      </c>
      <c r="B12" s="1" t="s">
        <v>310</v>
      </c>
      <c r="C12" s="1" t="s">
        <v>328</v>
      </c>
      <c r="D12" s="1">
        <v>460</v>
      </c>
      <c r="F12" s="1">
        <v>0</v>
      </c>
      <c r="G12" s="1">
        <f t="shared" si="0"/>
        <v>0</v>
      </c>
      <c r="I12" s="1">
        <v>0</v>
      </c>
      <c r="J12" s="1">
        <f t="shared" si="1"/>
        <v>0</v>
      </c>
      <c r="L12" s="1">
        <v>0</v>
      </c>
      <c r="M12" s="1">
        <f t="shared" si="2"/>
        <v>0</v>
      </c>
      <c r="O12" s="1">
        <v>1</v>
      </c>
      <c r="P12" s="1">
        <f t="shared" si="3"/>
        <v>460</v>
      </c>
    </row>
    <row r="13" spans="1:17" x14ac:dyDescent="0.25">
      <c r="A13" s="37" t="s">
        <v>359</v>
      </c>
      <c r="B13" s="1" t="s">
        <v>312</v>
      </c>
      <c r="C13" s="1" t="s">
        <v>313</v>
      </c>
      <c r="D13" s="1">
        <v>360</v>
      </c>
      <c r="F13" s="1">
        <v>0</v>
      </c>
      <c r="G13" s="1">
        <f t="shared" si="0"/>
        <v>0</v>
      </c>
      <c r="I13" s="1">
        <v>0</v>
      </c>
      <c r="J13" s="1">
        <f t="shared" si="1"/>
        <v>0</v>
      </c>
      <c r="L13" s="1">
        <v>0</v>
      </c>
      <c r="M13" s="1">
        <f t="shared" si="2"/>
        <v>0</v>
      </c>
      <c r="O13" s="1">
        <v>1</v>
      </c>
      <c r="P13" s="1">
        <f t="shared" si="3"/>
        <v>360</v>
      </c>
    </row>
    <row r="14" spans="1:17" x14ac:dyDescent="0.25">
      <c r="A14" s="37" t="s">
        <v>360</v>
      </c>
      <c r="B14" s="1" t="s">
        <v>314</v>
      </c>
      <c r="C14" s="1" t="s">
        <v>315</v>
      </c>
      <c r="D14" s="1">
        <v>12</v>
      </c>
      <c r="F14" s="1">
        <v>0</v>
      </c>
      <c r="G14" s="1">
        <f t="shared" si="0"/>
        <v>0</v>
      </c>
      <c r="I14" s="1">
        <v>0</v>
      </c>
      <c r="J14" s="1">
        <f t="shared" si="1"/>
        <v>0</v>
      </c>
      <c r="L14" s="1">
        <v>2</v>
      </c>
      <c r="M14" s="1">
        <f t="shared" si="2"/>
        <v>24</v>
      </c>
      <c r="O14" s="1">
        <v>3</v>
      </c>
      <c r="P14" s="1">
        <f t="shared" si="3"/>
        <v>36</v>
      </c>
    </row>
    <row r="15" spans="1:17" x14ac:dyDescent="0.25">
      <c r="A15" s="37" t="s">
        <v>487</v>
      </c>
      <c r="B15" s="1" t="s">
        <v>316</v>
      </c>
      <c r="C15" s="1" t="s">
        <v>325</v>
      </c>
      <c r="D15" s="1">
        <v>35</v>
      </c>
      <c r="F15" s="1">
        <v>0</v>
      </c>
      <c r="G15" s="1">
        <f t="shared" si="0"/>
        <v>0</v>
      </c>
      <c r="I15" s="1">
        <v>0</v>
      </c>
      <c r="J15" s="1">
        <f t="shared" si="1"/>
        <v>0</v>
      </c>
      <c r="L15" s="1">
        <v>1</v>
      </c>
      <c r="M15" s="1">
        <f t="shared" si="2"/>
        <v>35</v>
      </c>
      <c r="O15" s="1">
        <v>1</v>
      </c>
      <c r="P15" s="1">
        <f t="shared" si="3"/>
        <v>35</v>
      </c>
    </row>
    <row r="16" spans="1:17" x14ac:dyDescent="0.25">
      <c r="A16" s="37"/>
      <c r="B16" s="1" t="s">
        <v>67</v>
      </c>
      <c r="C16" s="1"/>
      <c r="D16" s="1"/>
      <c r="F16" s="1"/>
      <c r="G16" s="1"/>
      <c r="H16">
        <f>SUM(G7:G15)</f>
        <v>177</v>
      </c>
      <c r="I16" s="1"/>
      <c r="J16" s="1"/>
      <c r="K16">
        <f>SUM(J7:J15)</f>
        <v>325</v>
      </c>
      <c r="L16" s="1"/>
      <c r="M16" s="1"/>
      <c r="N16">
        <f>SUM(M7:M15)</f>
        <v>596</v>
      </c>
      <c r="O16" s="1"/>
      <c r="P16" s="1"/>
      <c r="Q16">
        <f>SUM(P7:P15)</f>
        <v>1576</v>
      </c>
    </row>
    <row r="17" spans="1:16" x14ac:dyDescent="0.25">
      <c r="A17" s="37"/>
      <c r="B17" s="1"/>
      <c r="C17" s="1"/>
      <c r="D17" s="1"/>
      <c r="F17" s="1"/>
      <c r="G17" s="1"/>
      <c r="I17" s="1"/>
      <c r="J17" s="1"/>
      <c r="L17" s="1"/>
      <c r="M17" s="1"/>
      <c r="O17" s="1"/>
      <c r="P17" s="1"/>
    </row>
    <row r="18" spans="1:16" x14ac:dyDescent="0.25">
      <c r="A18" s="37"/>
      <c r="B18" s="7" t="s">
        <v>179</v>
      </c>
      <c r="C18" s="1"/>
      <c r="D18" s="1"/>
      <c r="F18" s="1"/>
      <c r="G18" s="1"/>
      <c r="H18" s="4"/>
      <c r="I18" s="1"/>
      <c r="J18" s="1"/>
      <c r="L18" s="1"/>
      <c r="M18" s="1"/>
      <c r="O18" s="1"/>
      <c r="P18" s="1"/>
    </row>
    <row r="19" spans="1:16" x14ac:dyDescent="0.25">
      <c r="A19" s="37" t="s">
        <v>511</v>
      </c>
      <c r="B19" s="1" t="s">
        <v>301</v>
      </c>
      <c r="C19" s="1"/>
      <c r="D19" s="1">
        <v>20</v>
      </c>
      <c r="F19" s="1">
        <v>1</v>
      </c>
      <c r="G19" s="1">
        <v>4</v>
      </c>
      <c r="H19" s="4"/>
      <c r="I19" s="1">
        <v>1</v>
      </c>
      <c r="J19" s="1">
        <v>4</v>
      </c>
      <c r="L19" s="1">
        <v>0</v>
      </c>
      <c r="M19" s="1">
        <v>4</v>
      </c>
      <c r="O19" s="1">
        <v>0</v>
      </c>
      <c r="P19" s="1">
        <v>4</v>
      </c>
    </row>
    <row r="20" spans="1:16" x14ac:dyDescent="0.25">
      <c r="A20" s="37" t="s">
        <v>512</v>
      </c>
      <c r="B20" s="1" t="s">
        <v>480</v>
      </c>
      <c r="C20" s="1"/>
      <c r="D20" s="1"/>
      <c r="F20" s="1">
        <v>1</v>
      </c>
      <c r="G20" s="1">
        <f>H16*0.1</f>
        <v>17.7</v>
      </c>
      <c r="H20" s="4"/>
      <c r="I20" s="1"/>
      <c r="J20" s="1"/>
      <c r="L20" s="1"/>
      <c r="M20" s="1"/>
      <c r="O20" s="1"/>
      <c r="P20" s="1"/>
    </row>
    <row r="21" spans="1:16" x14ac:dyDescent="0.25">
      <c r="A21" s="37" t="s">
        <v>513</v>
      </c>
      <c r="B21" s="1" t="s">
        <v>481</v>
      </c>
      <c r="C21" s="1"/>
      <c r="D21" s="1"/>
      <c r="F21" s="1"/>
      <c r="G21" s="1"/>
      <c r="H21" s="4"/>
      <c r="I21" s="1">
        <v>1</v>
      </c>
      <c r="J21" s="1">
        <f>K16*0.1</f>
        <v>32.5</v>
      </c>
      <c r="L21" s="1"/>
      <c r="M21" s="1"/>
      <c r="O21" s="1"/>
      <c r="P21" s="1"/>
    </row>
    <row r="22" spans="1:16" x14ac:dyDescent="0.25">
      <c r="A22" s="37" t="s">
        <v>514</v>
      </c>
      <c r="B22" s="1" t="s">
        <v>482</v>
      </c>
      <c r="C22" s="1"/>
      <c r="D22" s="1"/>
      <c r="F22" s="1"/>
      <c r="G22" s="1"/>
      <c r="H22" s="4"/>
      <c r="I22" s="1"/>
      <c r="J22" s="1"/>
      <c r="L22" s="1">
        <v>1</v>
      </c>
      <c r="M22" s="1">
        <f>N16*0.1</f>
        <v>59.6</v>
      </c>
      <c r="O22" s="1"/>
      <c r="P22" s="1"/>
    </row>
    <row r="23" spans="1:16" x14ac:dyDescent="0.25">
      <c r="A23" s="37" t="s">
        <v>515</v>
      </c>
      <c r="B23" s="1" t="s">
        <v>483</v>
      </c>
      <c r="C23" s="1"/>
      <c r="D23" s="1"/>
      <c r="F23" s="1"/>
      <c r="G23" s="1"/>
      <c r="H23" s="4"/>
      <c r="I23" s="1"/>
      <c r="J23" s="1"/>
      <c r="L23" s="1"/>
      <c r="M23" s="1"/>
      <c r="O23" s="1">
        <v>1</v>
      </c>
      <c r="P23" s="1">
        <f>Q16*0.1</f>
        <v>157.60000000000002</v>
      </c>
    </row>
    <row r="24" spans="1:16" x14ac:dyDescent="0.25">
      <c r="B24" s="1"/>
      <c r="C24" s="1"/>
      <c r="D24" s="1"/>
      <c r="F24" s="1"/>
      <c r="G24" s="1"/>
      <c r="H24" s="4"/>
      <c r="I24" s="1"/>
      <c r="J24" s="1"/>
      <c r="L24" s="1"/>
      <c r="M24" s="1"/>
      <c r="O24" s="1"/>
      <c r="P24" s="1"/>
    </row>
    <row r="25" spans="1:16" s="17" customFormat="1" x14ac:dyDescent="0.25">
      <c r="B25" s="7" t="s">
        <v>18</v>
      </c>
      <c r="C25" s="7"/>
      <c r="D25" s="7"/>
      <c r="F25" s="7"/>
      <c r="G25" s="7">
        <f>SUM(G7:G23)</f>
        <v>198.7</v>
      </c>
      <c r="H25" s="40"/>
      <c r="I25" s="7"/>
      <c r="J25" s="7">
        <f>SUM(J7:J23)</f>
        <v>361.5</v>
      </c>
      <c r="L25" s="7"/>
      <c r="M25" s="7">
        <f>SUM(M7:M23)</f>
        <v>659.6</v>
      </c>
      <c r="O25" s="7"/>
      <c r="P25" s="7">
        <f>SUM(P7:P23)</f>
        <v>1737.6</v>
      </c>
    </row>
    <row r="26" spans="1:16" x14ac:dyDescent="0.25">
      <c r="A26" s="8"/>
      <c r="B26" s="1"/>
      <c r="C26" s="1"/>
      <c r="D26" s="1"/>
      <c r="F26" s="9"/>
      <c r="G26" s="9"/>
      <c r="H26" s="8"/>
      <c r="I26" s="9"/>
      <c r="J26" s="9"/>
      <c r="K26" s="8"/>
      <c r="L26" s="9"/>
      <c r="M26" s="1"/>
      <c r="O26" s="9"/>
      <c r="P26" s="1"/>
    </row>
    <row r="29" spans="1:16" x14ac:dyDescent="0.25">
      <c r="A29" s="17" t="s">
        <v>211</v>
      </c>
      <c r="B29" s="17" t="s">
        <v>317</v>
      </c>
    </row>
  </sheetData>
  <mergeCells count="4">
    <mergeCell ref="F4:G4"/>
    <mergeCell ref="I4:J4"/>
    <mergeCell ref="L4:M4"/>
    <mergeCell ref="O4:P4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C2DA-ACC8-4BA8-9F64-3834717F329D}">
  <dimension ref="A1:R30"/>
  <sheetViews>
    <sheetView workbookViewId="0">
      <selection activeCell="B20" sqref="B20:B23"/>
    </sheetView>
  </sheetViews>
  <sheetFormatPr defaultRowHeight="16.5" x14ac:dyDescent="0.25"/>
  <cols>
    <col min="1" max="1" width="18" customWidth="1"/>
    <col min="2" max="2" width="11.28515625" customWidth="1"/>
    <col min="3" max="3" width="23.140625" customWidth="1"/>
    <col min="4" max="4" width="29.85546875" customWidth="1"/>
    <col min="11" max="11" width="9.7109375" customWidth="1"/>
  </cols>
  <sheetData>
    <row r="1" spans="1:18" x14ac:dyDescent="0.25">
      <c r="A1" s="17" t="s">
        <v>228</v>
      </c>
      <c r="B1" s="17"/>
      <c r="C1" s="17" t="s">
        <v>321</v>
      </c>
    </row>
    <row r="2" spans="1:18" x14ac:dyDescent="0.25">
      <c r="A2" s="17" t="s">
        <v>225</v>
      </c>
      <c r="B2" s="17"/>
      <c r="C2" s="17" t="s">
        <v>362</v>
      </c>
      <c r="D2" t="s">
        <v>175</v>
      </c>
    </row>
    <row r="3" spans="1:18" ht="17.25" thickBot="1" x14ac:dyDescent="0.3"/>
    <row r="4" spans="1:18" ht="17.25" thickBot="1" x14ac:dyDescent="0.3">
      <c r="A4" s="7" t="s">
        <v>303</v>
      </c>
      <c r="B4" s="17"/>
      <c r="C4" s="38"/>
      <c r="D4" s="17" t="s">
        <v>187</v>
      </c>
      <c r="E4" s="39">
        <v>0.4</v>
      </c>
      <c r="G4" s="47" t="s">
        <v>0</v>
      </c>
      <c r="H4" s="48"/>
      <c r="J4" s="47" t="s">
        <v>1</v>
      </c>
      <c r="K4" s="48"/>
      <c r="M4" s="47" t="s">
        <v>25</v>
      </c>
      <c r="N4" s="48"/>
      <c r="P4" s="47" t="s">
        <v>373</v>
      </c>
      <c r="Q4" s="48"/>
    </row>
    <row r="5" spans="1:18" x14ac:dyDescent="0.25">
      <c r="B5" s="7" t="s">
        <v>361</v>
      </c>
      <c r="C5" s="7" t="s">
        <v>186</v>
      </c>
      <c r="D5" s="7" t="s">
        <v>181</v>
      </c>
      <c r="E5" s="7" t="s">
        <v>3</v>
      </c>
      <c r="G5" s="18" t="s">
        <v>4</v>
      </c>
      <c r="H5" s="18" t="s">
        <v>5</v>
      </c>
      <c r="J5" s="18" t="s">
        <v>4</v>
      </c>
      <c r="K5" s="18" t="s">
        <v>5</v>
      </c>
      <c r="M5" s="18" t="s">
        <v>4</v>
      </c>
      <c r="N5" s="18" t="s">
        <v>5</v>
      </c>
      <c r="P5" s="18" t="s">
        <v>4</v>
      </c>
      <c r="Q5" s="18" t="s">
        <v>5</v>
      </c>
    </row>
    <row r="6" spans="1:18" x14ac:dyDescent="0.25">
      <c r="B6" s="1"/>
      <c r="C6" s="7"/>
      <c r="D6" s="7"/>
      <c r="E6" s="7"/>
      <c r="G6" s="18"/>
      <c r="H6" s="18"/>
      <c r="J6" s="18"/>
      <c r="K6" s="18"/>
      <c r="M6" s="18"/>
      <c r="N6" s="18"/>
      <c r="P6" s="18"/>
      <c r="Q6" s="18"/>
    </row>
    <row r="7" spans="1:18" x14ac:dyDescent="0.25">
      <c r="A7" s="37"/>
      <c r="B7" s="41"/>
      <c r="C7" s="7"/>
      <c r="D7" s="1"/>
      <c r="E7" s="1"/>
      <c r="G7" s="1"/>
      <c r="H7" s="1"/>
      <c r="J7" s="1"/>
      <c r="K7" s="1"/>
      <c r="M7" s="1"/>
      <c r="N7" s="1"/>
      <c r="P7" s="1"/>
      <c r="Q7" s="1"/>
    </row>
    <row r="8" spans="1:18" x14ac:dyDescent="0.25">
      <c r="A8" s="37"/>
      <c r="B8" s="1" t="s">
        <v>488</v>
      </c>
      <c r="C8" s="1" t="s">
        <v>298</v>
      </c>
      <c r="D8" s="1" t="s">
        <v>299</v>
      </c>
      <c r="E8" s="1">
        <v>160</v>
      </c>
      <c r="G8" s="1">
        <v>1</v>
      </c>
      <c r="H8" s="1">
        <f>G8*E8</f>
        <v>160</v>
      </c>
      <c r="J8" s="1">
        <v>0</v>
      </c>
      <c r="K8" s="1">
        <f>J8*E8</f>
        <v>0</v>
      </c>
      <c r="M8" s="1">
        <v>0</v>
      </c>
      <c r="N8" s="1">
        <f>M8*E8</f>
        <v>0</v>
      </c>
      <c r="P8" s="1">
        <v>0</v>
      </c>
      <c r="Q8" s="1">
        <f>P8*E8</f>
        <v>0</v>
      </c>
    </row>
    <row r="9" spans="1:18" x14ac:dyDescent="0.25">
      <c r="A9" s="37"/>
      <c r="B9" s="1" t="s">
        <v>489</v>
      </c>
      <c r="C9" s="1" t="s">
        <v>372</v>
      </c>
      <c r="D9" s="1"/>
      <c r="E9" s="1">
        <v>20</v>
      </c>
      <c r="G9" s="1">
        <v>1</v>
      </c>
      <c r="H9" s="1">
        <f>G9*E9</f>
        <v>20</v>
      </c>
      <c r="J9" s="1">
        <v>0</v>
      </c>
      <c r="K9" s="1">
        <f t="shared" ref="K9:K15" si="0">J9*E9</f>
        <v>0</v>
      </c>
      <c r="M9" s="1">
        <v>0</v>
      </c>
      <c r="N9" s="1">
        <f t="shared" ref="N9:N15" si="1">M9*E9</f>
        <v>0</v>
      </c>
      <c r="P9" s="1">
        <v>0</v>
      </c>
      <c r="Q9" s="1">
        <f t="shared" ref="Q9:Q15" si="2">P9*E9</f>
        <v>0</v>
      </c>
    </row>
    <row r="10" spans="1:18" x14ac:dyDescent="0.25">
      <c r="A10" s="37"/>
      <c r="B10" s="1" t="s">
        <v>490</v>
      </c>
      <c r="C10" s="1" t="s">
        <v>364</v>
      </c>
      <c r="D10" s="1" t="s">
        <v>365</v>
      </c>
      <c r="E10" s="1">
        <v>265</v>
      </c>
      <c r="G10" s="1">
        <v>0</v>
      </c>
      <c r="H10" s="1">
        <f t="shared" ref="H10:H15" si="3">G10*E10</f>
        <v>0</v>
      </c>
      <c r="J10" s="1">
        <v>1</v>
      </c>
      <c r="K10" s="1">
        <f t="shared" si="0"/>
        <v>265</v>
      </c>
      <c r="M10" s="1">
        <v>0</v>
      </c>
      <c r="N10" s="1">
        <f t="shared" si="1"/>
        <v>0</v>
      </c>
      <c r="P10" s="1">
        <v>0</v>
      </c>
      <c r="Q10" s="1">
        <f t="shared" si="2"/>
        <v>0</v>
      </c>
    </row>
    <row r="11" spans="1:18" x14ac:dyDescent="0.25">
      <c r="A11" s="37"/>
      <c r="B11" s="1" t="s">
        <v>491</v>
      </c>
      <c r="C11" s="1" t="s">
        <v>368</v>
      </c>
      <c r="D11" s="1" t="s">
        <v>366</v>
      </c>
      <c r="E11" s="1">
        <v>50</v>
      </c>
      <c r="G11" s="1">
        <v>0</v>
      </c>
      <c r="H11" s="1">
        <f t="shared" si="3"/>
        <v>0</v>
      </c>
      <c r="J11" s="1">
        <v>1</v>
      </c>
      <c r="K11" s="1">
        <f t="shared" si="0"/>
        <v>50</v>
      </c>
      <c r="M11" s="1">
        <v>0</v>
      </c>
      <c r="N11" s="1">
        <f t="shared" si="1"/>
        <v>0</v>
      </c>
      <c r="P11" s="1">
        <v>0</v>
      </c>
      <c r="Q11" s="1">
        <f t="shared" si="2"/>
        <v>0</v>
      </c>
    </row>
    <row r="12" spans="1:18" x14ac:dyDescent="0.25">
      <c r="A12" s="37"/>
      <c r="B12" s="1" t="s">
        <v>492</v>
      </c>
      <c r="C12" s="1" t="s">
        <v>367</v>
      </c>
      <c r="D12" s="1" t="s">
        <v>369</v>
      </c>
      <c r="E12" s="1">
        <v>15</v>
      </c>
      <c r="G12" s="1">
        <v>0</v>
      </c>
      <c r="H12" s="1">
        <f t="shared" si="3"/>
        <v>0</v>
      </c>
      <c r="J12" s="1">
        <v>1</v>
      </c>
      <c r="K12" s="1">
        <f t="shared" si="0"/>
        <v>15</v>
      </c>
      <c r="M12" s="1">
        <v>0</v>
      </c>
      <c r="N12" s="1">
        <f t="shared" si="1"/>
        <v>0</v>
      </c>
      <c r="P12" s="1">
        <v>0</v>
      </c>
      <c r="Q12" s="1">
        <f t="shared" si="2"/>
        <v>0</v>
      </c>
    </row>
    <row r="13" spans="1:18" x14ac:dyDescent="0.25">
      <c r="A13" s="37"/>
      <c r="B13" s="1" t="s">
        <v>493</v>
      </c>
      <c r="C13" s="1" t="s">
        <v>300</v>
      </c>
      <c r="D13" s="1"/>
      <c r="E13" s="1">
        <v>600</v>
      </c>
      <c r="G13" s="1">
        <v>0</v>
      </c>
      <c r="H13" s="1">
        <f t="shared" si="3"/>
        <v>0</v>
      </c>
      <c r="J13" s="1">
        <v>0</v>
      </c>
      <c r="K13" s="1">
        <f t="shared" si="0"/>
        <v>0</v>
      </c>
      <c r="M13" s="1">
        <v>1</v>
      </c>
      <c r="N13" s="1">
        <f t="shared" si="1"/>
        <v>600</v>
      </c>
      <c r="P13" s="1">
        <v>1</v>
      </c>
      <c r="Q13" s="1">
        <f t="shared" si="2"/>
        <v>600</v>
      </c>
    </row>
    <row r="14" spans="1:18" x14ac:dyDescent="0.25">
      <c r="A14" s="37"/>
      <c r="B14" s="1" t="s">
        <v>494</v>
      </c>
      <c r="C14" s="1" t="s">
        <v>302</v>
      </c>
      <c r="D14" s="1" t="s">
        <v>370</v>
      </c>
      <c r="E14" s="1">
        <v>850</v>
      </c>
      <c r="G14" s="1">
        <v>0</v>
      </c>
      <c r="H14" s="1">
        <f t="shared" si="3"/>
        <v>0</v>
      </c>
      <c r="J14" s="1">
        <v>0</v>
      </c>
      <c r="K14" s="1">
        <f t="shared" si="0"/>
        <v>0</v>
      </c>
      <c r="M14" s="1">
        <v>0</v>
      </c>
      <c r="N14" s="1">
        <f t="shared" si="1"/>
        <v>0</v>
      </c>
      <c r="P14" s="1">
        <v>1</v>
      </c>
      <c r="Q14" s="1">
        <f t="shared" si="2"/>
        <v>850</v>
      </c>
    </row>
    <row r="15" spans="1:18" x14ac:dyDescent="0.25">
      <c r="A15" s="37"/>
      <c r="B15" s="1" t="s">
        <v>495</v>
      </c>
      <c r="C15" s="1" t="s">
        <v>371</v>
      </c>
      <c r="D15" s="1"/>
      <c r="E15" s="1">
        <v>100</v>
      </c>
      <c r="G15" s="1">
        <v>0</v>
      </c>
      <c r="H15" s="1">
        <f t="shared" si="3"/>
        <v>0</v>
      </c>
      <c r="J15" s="1">
        <v>0</v>
      </c>
      <c r="K15" s="1">
        <f t="shared" si="0"/>
        <v>0</v>
      </c>
      <c r="M15" s="1">
        <v>0</v>
      </c>
      <c r="N15" s="1">
        <f t="shared" si="1"/>
        <v>0</v>
      </c>
      <c r="P15" s="1">
        <v>1</v>
      </c>
      <c r="Q15" s="1">
        <f t="shared" si="2"/>
        <v>100</v>
      </c>
    </row>
    <row r="16" spans="1:18" x14ac:dyDescent="0.25">
      <c r="A16" s="37"/>
      <c r="B16" s="41"/>
      <c r="C16" s="1" t="s">
        <v>67</v>
      </c>
      <c r="D16" s="1"/>
      <c r="E16" s="1"/>
      <c r="G16" s="1"/>
      <c r="I16" s="1">
        <f>SUM(H8:H15)</f>
        <v>180</v>
      </c>
      <c r="J16" s="1"/>
      <c r="L16" s="1">
        <f>SUM(K8:K15)</f>
        <v>330</v>
      </c>
      <c r="M16" s="1"/>
      <c r="O16" s="1">
        <f>SUM(N8:N15)</f>
        <v>600</v>
      </c>
      <c r="P16" s="1"/>
      <c r="R16" s="1">
        <f>SUM(Q8:Q15)</f>
        <v>1550</v>
      </c>
    </row>
    <row r="17" spans="1:17" x14ac:dyDescent="0.25">
      <c r="A17" s="17"/>
      <c r="B17" s="41"/>
      <c r="C17" s="1"/>
      <c r="D17" s="1"/>
      <c r="E17" s="1"/>
      <c r="G17" s="1"/>
      <c r="H17" s="1"/>
      <c r="J17" s="1"/>
      <c r="K17" s="1"/>
      <c r="M17" s="1"/>
      <c r="N17" s="1"/>
      <c r="P17" s="1"/>
      <c r="Q17" s="1"/>
    </row>
    <row r="18" spans="1:17" x14ac:dyDescent="0.25">
      <c r="B18" s="41"/>
      <c r="C18" s="7" t="s">
        <v>179</v>
      </c>
      <c r="D18" s="1"/>
      <c r="E18" s="1"/>
      <c r="G18" s="1"/>
      <c r="H18" s="1"/>
      <c r="I18" s="4"/>
      <c r="J18" s="1"/>
      <c r="K18" s="1">
        <f t="shared" ref="K18" si="4">J18*E18</f>
        <v>0</v>
      </c>
      <c r="M18" s="1"/>
      <c r="N18" s="1"/>
      <c r="P18" s="1"/>
      <c r="Q18" s="1"/>
    </row>
    <row r="19" spans="1:17" x14ac:dyDescent="0.25">
      <c r="B19" s="41" t="s">
        <v>521</v>
      </c>
      <c r="C19" s="1" t="s">
        <v>301</v>
      </c>
      <c r="D19" s="1"/>
      <c r="E19" s="1">
        <v>20</v>
      </c>
      <c r="G19" s="1">
        <v>0</v>
      </c>
      <c r="H19" s="1">
        <v>4</v>
      </c>
      <c r="I19" s="4"/>
      <c r="J19" s="1">
        <v>0</v>
      </c>
      <c r="K19" s="1">
        <v>4</v>
      </c>
      <c r="M19" s="1">
        <v>1</v>
      </c>
      <c r="N19" s="1">
        <f t="shared" ref="N19" si="5">E19*M19</f>
        <v>20</v>
      </c>
      <c r="P19" s="1">
        <v>0</v>
      </c>
      <c r="Q19" s="1">
        <v>20</v>
      </c>
    </row>
    <row r="20" spans="1:17" x14ac:dyDescent="0.25">
      <c r="A20" s="37"/>
      <c r="B20" s="41" t="s">
        <v>522</v>
      </c>
      <c r="C20" s="1" t="s">
        <v>480</v>
      </c>
      <c r="D20" s="1"/>
      <c r="E20" s="1"/>
      <c r="G20" s="1">
        <v>0</v>
      </c>
      <c r="H20" s="1">
        <f>I16*0.1</f>
        <v>18</v>
      </c>
      <c r="I20" s="4"/>
      <c r="J20" s="1"/>
      <c r="K20" s="1"/>
      <c r="M20" s="1"/>
      <c r="N20" s="1"/>
      <c r="P20" s="1"/>
      <c r="Q20" s="1"/>
    </row>
    <row r="21" spans="1:17" x14ac:dyDescent="0.25">
      <c r="B21" s="41" t="s">
        <v>523</v>
      </c>
      <c r="C21" s="1" t="s">
        <v>481</v>
      </c>
      <c r="D21" s="1"/>
      <c r="E21" s="1"/>
      <c r="G21" s="1"/>
      <c r="H21" s="1"/>
      <c r="I21" s="4"/>
      <c r="J21" s="1">
        <v>0</v>
      </c>
      <c r="K21" s="1">
        <f>L16*0.1</f>
        <v>33</v>
      </c>
      <c r="M21" s="1"/>
      <c r="N21" s="1"/>
      <c r="P21" s="1"/>
      <c r="Q21" s="1"/>
    </row>
    <row r="22" spans="1:17" x14ac:dyDescent="0.25">
      <c r="B22" s="41" t="s">
        <v>524</v>
      </c>
      <c r="C22" s="1" t="s">
        <v>482</v>
      </c>
      <c r="D22" s="1"/>
      <c r="E22" s="1"/>
      <c r="G22" s="1"/>
      <c r="H22" s="1"/>
      <c r="I22" s="4"/>
      <c r="J22" s="1"/>
      <c r="K22" s="1"/>
      <c r="M22" s="1">
        <v>0</v>
      </c>
      <c r="N22" s="1">
        <f>O16*0.1</f>
        <v>60</v>
      </c>
      <c r="P22" s="1"/>
      <c r="Q22" s="1"/>
    </row>
    <row r="23" spans="1:17" x14ac:dyDescent="0.25">
      <c r="B23" s="41" t="s">
        <v>525</v>
      </c>
      <c r="C23" s="1" t="s">
        <v>483</v>
      </c>
      <c r="D23" s="1"/>
      <c r="E23" s="1"/>
      <c r="G23" s="1"/>
      <c r="H23" s="1"/>
      <c r="I23" s="4"/>
      <c r="J23" s="1"/>
      <c r="K23" s="1"/>
      <c r="M23" s="1"/>
      <c r="N23" s="1"/>
      <c r="P23" s="1">
        <v>0</v>
      </c>
      <c r="Q23" s="1">
        <f>R16*0.1</f>
        <v>155</v>
      </c>
    </row>
    <row r="24" spans="1:17" x14ac:dyDescent="0.25">
      <c r="B24" s="1"/>
      <c r="C24" s="1"/>
      <c r="D24" s="1"/>
      <c r="E24" s="1"/>
      <c r="G24" s="1"/>
      <c r="H24" s="1"/>
      <c r="I24" s="4"/>
      <c r="J24" s="1"/>
      <c r="K24" s="1"/>
      <c r="M24" s="1"/>
      <c r="N24" s="1"/>
      <c r="P24" s="1"/>
      <c r="Q24" s="1"/>
    </row>
    <row r="25" spans="1:17" s="17" customFormat="1" x14ac:dyDescent="0.25">
      <c r="B25" s="7"/>
      <c r="C25" s="7" t="s">
        <v>18</v>
      </c>
      <c r="D25" s="7"/>
      <c r="E25" s="7"/>
      <c r="G25" s="7"/>
      <c r="H25" s="7">
        <f>SUM(H8:H21)</f>
        <v>202</v>
      </c>
      <c r="I25" s="40"/>
      <c r="J25" s="7"/>
      <c r="K25" s="7">
        <f>SUM(K8:K21)</f>
        <v>367</v>
      </c>
      <c r="M25" s="7"/>
      <c r="N25" s="7">
        <f>SUM(N7:N21)</f>
        <v>620</v>
      </c>
      <c r="P25" s="1"/>
      <c r="Q25" s="7">
        <f>SUM(Q7:Q21)</f>
        <v>1570</v>
      </c>
    </row>
    <row r="26" spans="1:17" x14ac:dyDescent="0.25">
      <c r="A26" s="8"/>
      <c r="B26" s="9"/>
      <c r="C26" s="1"/>
      <c r="D26" s="1"/>
      <c r="E26" s="1"/>
      <c r="G26" s="9"/>
      <c r="H26" s="9"/>
      <c r="I26" s="8"/>
      <c r="J26" s="9"/>
      <c r="K26" s="9"/>
      <c r="L26" s="8"/>
      <c r="M26" s="9"/>
      <c r="N26" s="1"/>
      <c r="P26" s="9"/>
      <c r="Q26" s="1"/>
    </row>
    <row r="29" spans="1:17" x14ac:dyDescent="0.25">
      <c r="A29" s="17" t="s">
        <v>211</v>
      </c>
      <c r="B29" s="17"/>
      <c r="C29" s="17" t="s">
        <v>317</v>
      </c>
    </row>
    <row r="30" spans="1:17" x14ac:dyDescent="0.25">
      <c r="A30" s="17" t="s">
        <v>212</v>
      </c>
      <c r="B30" s="17"/>
      <c r="C30" s="17"/>
    </row>
  </sheetData>
  <mergeCells count="4">
    <mergeCell ref="G4:H4"/>
    <mergeCell ref="J4:K4"/>
    <mergeCell ref="M4:N4"/>
    <mergeCell ref="P4:Q4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9C275-5F03-4AC4-83C0-C24AAF402EE2}">
  <dimension ref="A1:AA32"/>
  <sheetViews>
    <sheetView workbookViewId="0">
      <selection activeCell="B22" sqref="B22:B25"/>
    </sheetView>
  </sheetViews>
  <sheetFormatPr defaultRowHeight="16.5" x14ac:dyDescent="0.25"/>
  <cols>
    <col min="1" max="1" width="18.42578125" customWidth="1"/>
    <col min="2" max="2" width="14.140625" customWidth="1"/>
    <col min="3" max="3" width="24.5703125" customWidth="1"/>
    <col min="4" max="4" width="29.140625" customWidth="1"/>
  </cols>
  <sheetData>
    <row r="1" spans="1:27" x14ac:dyDescent="0.25">
      <c r="A1" s="17" t="s">
        <v>228</v>
      </c>
      <c r="B1" s="17"/>
      <c r="C1" s="17" t="s">
        <v>321</v>
      </c>
    </row>
    <row r="2" spans="1:27" x14ac:dyDescent="0.25">
      <c r="A2" s="17" t="s">
        <v>225</v>
      </c>
      <c r="B2" s="17"/>
      <c r="C2" s="17" t="s">
        <v>363</v>
      </c>
      <c r="D2" t="s">
        <v>175</v>
      </c>
    </row>
    <row r="3" spans="1:27" x14ac:dyDescent="0.25">
      <c r="A3" s="17"/>
      <c r="B3" s="17"/>
      <c r="C3" s="17"/>
    </row>
    <row r="4" spans="1:27" ht="17.25" thickBot="1" x14ac:dyDescent="0.3"/>
    <row r="5" spans="1:27" ht="17.25" thickBot="1" x14ac:dyDescent="0.3">
      <c r="A5" s="7" t="s">
        <v>374</v>
      </c>
      <c r="B5" s="17"/>
      <c r="C5" s="38"/>
      <c r="D5" s="17" t="s">
        <v>187</v>
      </c>
      <c r="E5" s="39">
        <v>0.4</v>
      </c>
      <c r="G5" s="47" t="s">
        <v>0</v>
      </c>
      <c r="H5" s="48"/>
      <c r="J5" s="47" t="s">
        <v>378</v>
      </c>
      <c r="K5" s="48"/>
      <c r="M5" s="47" t="s">
        <v>379</v>
      </c>
      <c r="N5" s="48"/>
      <c r="P5" s="47" t="s">
        <v>380</v>
      </c>
      <c r="Q5" s="48"/>
      <c r="S5" s="47" t="s">
        <v>381</v>
      </c>
      <c r="T5" s="48"/>
      <c r="V5" s="47" t="s">
        <v>383</v>
      </c>
      <c r="W5" s="48"/>
      <c r="Y5" s="47" t="s">
        <v>383</v>
      </c>
      <c r="Z5" s="48"/>
    </row>
    <row r="6" spans="1:27" x14ac:dyDescent="0.25">
      <c r="B6" s="7" t="s">
        <v>361</v>
      </c>
      <c r="C6" s="7" t="s">
        <v>186</v>
      </c>
      <c r="D6" s="7" t="s">
        <v>181</v>
      </c>
      <c r="E6" s="7" t="s">
        <v>3</v>
      </c>
      <c r="G6" s="18" t="s">
        <v>4</v>
      </c>
      <c r="H6" s="18" t="s">
        <v>5</v>
      </c>
      <c r="J6" s="18" t="s">
        <v>4</v>
      </c>
      <c r="K6" s="18" t="s">
        <v>5</v>
      </c>
      <c r="M6" s="18" t="s">
        <v>4</v>
      </c>
      <c r="N6" s="18" t="s">
        <v>5</v>
      </c>
      <c r="P6" s="18" t="s">
        <v>4</v>
      </c>
      <c r="Q6" s="18" t="s">
        <v>5</v>
      </c>
      <c r="S6" s="18" t="s">
        <v>4</v>
      </c>
      <c r="T6" s="18" t="s">
        <v>5</v>
      </c>
      <c r="V6" s="18" t="s">
        <v>4</v>
      </c>
      <c r="W6" s="18" t="s">
        <v>5</v>
      </c>
      <c r="Y6" s="18" t="s">
        <v>4</v>
      </c>
      <c r="Z6" s="18" t="s">
        <v>5</v>
      </c>
    </row>
    <row r="7" spans="1:27" x14ac:dyDescent="0.25">
      <c r="B7" s="1"/>
      <c r="C7" s="7"/>
      <c r="D7" s="7"/>
      <c r="E7" s="7"/>
      <c r="G7" s="18"/>
      <c r="H7" s="18"/>
      <c r="J7" s="18"/>
      <c r="K7" s="18"/>
      <c r="M7" s="18"/>
      <c r="N7" s="18"/>
      <c r="P7" s="18"/>
      <c r="Q7" s="18"/>
      <c r="S7" s="18"/>
      <c r="T7" s="18"/>
      <c r="V7" s="18"/>
      <c r="W7" s="18"/>
      <c r="Y7" s="18"/>
      <c r="Z7" s="18"/>
    </row>
    <row r="8" spans="1:27" x14ac:dyDescent="0.25">
      <c r="A8" s="37">
        <v>666</v>
      </c>
      <c r="B8" s="41"/>
      <c r="C8" s="7" t="s">
        <v>375</v>
      </c>
      <c r="D8" s="1"/>
      <c r="E8" s="1">
        <v>4</v>
      </c>
      <c r="G8" s="1">
        <v>40</v>
      </c>
      <c r="H8" s="1">
        <f>G8*E8</f>
        <v>160</v>
      </c>
      <c r="J8" s="1">
        <v>0</v>
      </c>
      <c r="K8" s="1">
        <f>J8*E8</f>
        <v>0</v>
      </c>
      <c r="M8" s="1">
        <v>75</v>
      </c>
      <c r="N8" s="1">
        <f>M8*E8</f>
        <v>300</v>
      </c>
      <c r="P8" s="1">
        <v>145</v>
      </c>
      <c r="Q8" s="1">
        <f>P8*E8</f>
        <v>580</v>
      </c>
      <c r="S8" s="1">
        <v>0</v>
      </c>
      <c r="T8" s="1">
        <f>S8*E8</f>
        <v>0</v>
      </c>
      <c r="V8" s="1">
        <v>0</v>
      </c>
      <c r="W8" s="1">
        <f>V8*E8</f>
        <v>0</v>
      </c>
      <c r="Y8" s="1">
        <v>50</v>
      </c>
      <c r="Z8" s="1">
        <f>Y8*E8</f>
        <v>200</v>
      </c>
    </row>
    <row r="9" spans="1:27" x14ac:dyDescent="0.25">
      <c r="A9" s="37"/>
      <c r="B9" s="41" t="s">
        <v>526</v>
      </c>
      <c r="C9" s="1" t="s">
        <v>376</v>
      </c>
      <c r="D9" s="1"/>
      <c r="E9" s="1">
        <v>12</v>
      </c>
      <c r="G9" s="1">
        <v>0</v>
      </c>
      <c r="H9" s="1">
        <f t="shared" ref="H9:H15" si="0">G9*E9</f>
        <v>0</v>
      </c>
      <c r="J9" s="1">
        <v>18</v>
      </c>
      <c r="K9" s="1">
        <f t="shared" ref="K9:K15" si="1">J9*E9</f>
        <v>216</v>
      </c>
      <c r="M9" s="1">
        <v>0</v>
      </c>
      <c r="N9" s="1">
        <f t="shared" ref="N9:N15" si="2">M9*E9</f>
        <v>0</v>
      </c>
      <c r="P9" s="1">
        <v>0</v>
      </c>
      <c r="Q9" s="1">
        <f t="shared" ref="Q9:Q15" si="3">P9*E9</f>
        <v>0</v>
      </c>
      <c r="S9" s="1">
        <v>35</v>
      </c>
      <c r="T9" s="1">
        <f t="shared" ref="T9:T15" si="4">S9*E9</f>
        <v>420</v>
      </c>
      <c r="V9" s="1">
        <v>0</v>
      </c>
      <c r="W9" s="1">
        <f t="shared" ref="W9:W15" si="5">V9*E9</f>
        <v>0</v>
      </c>
      <c r="Y9" s="1">
        <v>6</v>
      </c>
      <c r="Z9" s="1">
        <f t="shared" ref="Z9:Z15" si="6">Y9*E9</f>
        <v>72</v>
      </c>
    </row>
    <row r="10" spans="1:27" x14ac:dyDescent="0.25">
      <c r="A10" s="37" t="s">
        <v>175</v>
      </c>
      <c r="B10" s="41" t="s">
        <v>527</v>
      </c>
      <c r="C10" s="1" t="s">
        <v>377</v>
      </c>
      <c r="D10" s="1" t="s">
        <v>388</v>
      </c>
      <c r="E10" s="1">
        <v>45</v>
      </c>
      <c r="G10" s="1">
        <v>0</v>
      </c>
      <c r="H10" s="1">
        <f t="shared" si="0"/>
        <v>0</v>
      </c>
      <c r="J10" s="1">
        <v>2</v>
      </c>
      <c r="K10" s="1">
        <f t="shared" si="1"/>
        <v>90</v>
      </c>
      <c r="M10" s="1">
        <v>0</v>
      </c>
      <c r="N10" s="1">
        <f t="shared" si="2"/>
        <v>0</v>
      </c>
      <c r="P10" s="1">
        <v>0</v>
      </c>
      <c r="Q10" s="1">
        <f t="shared" si="3"/>
        <v>0</v>
      </c>
      <c r="S10" s="1">
        <v>3</v>
      </c>
      <c r="T10" s="1">
        <f t="shared" si="4"/>
        <v>135</v>
      </c>
      <c r="V10" s="1">
        <v>0</v>
      </c>
      <c r="W10" s="1">
        <f t="shared" si="5"/>
        <v>0</v>
      </c>
      <c r="Y10" s="1">
        <v>2</v>
      </c>
      <c r="Z10" s="1">
        <f t="shared" si="6"/>
        <v>90</v>
      </c>
    </row>
    <row r="11" spans="1:27" x14ac:dyDescent="0.25">
      <c r="A11" s="37"/>
      <c r="B11" s="41" t="s">
        <v>528</v>
      </c>
      <c r="C11" s="1" t="s">
        <v>382</v>
      </c>
      <c r="D11" s="1"/>
      <c r="E11" s="1">
        <v>30</v>
      </c>
      <c r="G11" s="1">
        <v>0</v>
      </c>
      <c r="H11" s="1">
        <f t="shared" si="0"/>
        <v>0</v>
      </c>
      <c r="J11" s="1">
        <v>0</v>
      </c>
      <c r="K11" s="1">
        <f t="shared" si="1"/>
        <v>0</v>
      </c>
      <c r="M11" s="1">
        <v>0</v>
      </c>
      <c r="N11" s="1">
        <f t="shared" si="2"/>
        <v>0</v>
      </c>
      <c r="P11" s="1">
        <v>0</v>
      </c>
      <c r="Q11" s="1">
        <f t="shared" si="3"/>
        <v>0</v>
      </c>
      <c r="S11" s="1">
        <v>1</v>
      </c>
      <c r="T11" s="1">
        <f t="shared" si="4"/>
        <v>30</v>
      </c>
      <c r="V11" s="1">
        <v>0</v>
      </c>
      <c r="W11" s="1">
        <f t="shared" si="5"/>
        <v>0</v>
      </c>
      <c r="Y11" s="1">
        <v>0</v>
      </c>
      <c r="Z11" s="1">
        <f t="shared" si="6"/>
        <v>0</v>
      </c>
    </row>
    <row r="12" spans="1:27" x14ac:dyDescent="0.25">
      <c r="A12" s="37"/>
      <c r="B12" s="41" t="s">
        <v>529</v>
      </c>
      <c r="C12" s="1" t="s">
        <v>387</v>
      </c>
      <c r="D12" s="1"/>
      <c r="E12" s="1">
        <v>45</v>
      </c>
      <c r="G12" s="1"/>
      <c r="H12" s="1">
        <f t="shared" si="0"/>
        <v>0</v>
      </c>
      <c r="J12" s="1"/>
      <c r="K12" s="1">
        <f t="shared" si="1"/>
        <v>0</v>
      </c>
      <c r="M12" s="1"/>
      <c r="N12" s="1">
        <f t="shared" si="2"/>
        <v>0</v>
      </c>
      <c r="P12" s="1"/>
      <c r="Q12" s="1">
        <f t="shared" si="3"/>
        <v>0</v>
      </c>
      <c r="S12" s="1"/>
      <c r="T12" s="1">
        <f t="shared" si="4"/>
        <v>0</v>
      </c>
      <c r="V12" s="1"/>
      <c r="W12" s="1">
        <f t="shared" si="5"/>
        <v>0</v>
      </c>
      <c r="Y12" s="1">
        <v>5</v>
      </c>
      <c r="Z12" s="1">
        <f t="shared" si="6"/>
        <v>225</v>
      </c>
    </row>
    <row r="13" spans="1:27" x14ac:dyDescent="0.25">
      <c r="A13" s="37"/>
      <c r="B13" s="41" t="s">
        <v>530</v>
      </c>
      <c r="C13" s="1" t="s">
        <v>386</v>
      </c>
      <c r="D13" s="1" t="s">
        <v>384</v>
      </c>
      <c r="E13" s="1">
        <v>1800</v>
      </c>
      <c r="G13" s="1">
        <v>0</v>
      </c>
      <c r="H13" s="1">
        <f t="shared" si="0"/>
        <v>0</v>
      </c>
      <c r="J13" s="1">
        <v>0</v>
      </c>
      <c r="K13" s="1">
        <f t="shared" si="1"/>
        <v>0</v>
      </c>
      <c r="M13" s="1">
        <v>0</v>
      </c>
      <c r="N13" s="1">
        <f t="shared" si="2"/>
        <v>0</v>
      </c>
      <c r="P13" s="1">
        <v>0</v>
      </c>
      <c r="Q13" s="1">
        <f t="shared" si="3"/>
        <v>0</v>
      </c>
      <c r="S13" s="1">
        <v>0</v>
      </c>
      <c r="T13" s="1">
        <f t="shared" si="4"/>
        <v>0</v>
      </c>
      <c r="V13" s="1">
        <v>1</v>
      </c>
      <c r="W13" s="1">
        <f t="shared" si="5"/>
        <v>1800</v>
      </c>
      <c r="Y13" s="1">
        <v>0</v>
      </c>
      <c r="Z13" s="1">
        <f t="shared" si="6"/>
        <v>0</v>
      </c>
    </row>
    <row r="14" spans="1:27" x14ac:dyDescent="0.25">
      <c r="A14" s="37"/>
      <c r="B14" s="41" t="s">
        <v>531</v>
      </c>
      <c r="C14" s="1" t="s">
        <v>386</v>
      </c>
      <c r="D14" s="1" t="s">
        <v>385</v>
      </c>
      <c r="E14" s="1">
        <v>1000</v>
      </c>
      <c r="G14" s="1">
        <v>0</v>
      </c>
      <c r="H14" s="1">
        <f t="shared" si="0"/>
        <v>0</v>
      </c>
      <c r="J14" s="1">
        <v>0</v>
      </c>
      <c r="K14" s="1">
        <f t="shared" si="1"/>
        <v>0</v>
      </c>
      <c r="M14" s="1">
        <v>0</v>
      </c>
      <c r="N14" s="1">
        <f t="shared" si="2"/>
        <v>0</v>
      </c>
      <c r="P14" s="1">
        <v>0</v>
      </c>
      <c r="Q14" s="1">
        <f t="shared" si="3"/>
        <v>0</v>
      </c>
      <c r="S14" s="1">
        <v>0</v>
      </c>
      <c r="T14" s="1">
        <f t="shared" si="4"/>
        <v>0</v>
      </c>
      <c r="V14" s="1">
        <v>0</v>
      </c>
      <c r="W14" s="1">
        <f t="shared" si="5"/>
        <v>0</v>
      </c>
      <c r="Y14" s="1">
        <v>1</v>
      </c>
      <c r="Z14" s="1">
        <f t="shared" si="6"/>
        <v>1000</v>
      </c>
    </row>
    <row r="15" spans="1:27" x14ac:dyDescent="0.25">
      <c r="A15" s="37"/>
      <c r="B15" s="41" t="s">
        <v>532</v>
      </c>
      <c r="C15" s="1" t="s">
        <v>389</v>
      </c>
      <c r="D15" s="1"/>
      <c r="E15" s="1">
        <v>200</v>
      </c>
      <c r="G15" s="1">
        <v>0</v>
      </c>
      <c r="H15" s="1">
        <f t="shared" si="0"/>
        <v>0</v>
      </c>
      <c r="J15" s="1">
        <v>0</v>
      </c>
      <c r="K15" s="1">
        <f t="shared" si="1"/>
        <v>0</v>
      </c>
      <c r="M15" s="1">
        <v>0</v>
      </c>
      <c r="N15" s="1">
        <f t="shared" si="2"/>
        <v>0</v>
      </c>
      <c r="P15" s="1">
        <v>0</v>
      </c>
      <c r="Q15" s="1">
        <f t="shared" si="3"/>
        <v>0</v>
      </c>
      <c r="S15" s="1">
        <v>0</v>
      </c>
      <c r="T15" s="1">
        <f t="shared" si="4"/>
        <v>0</v>
      </c>
      <c r="V15" s="1">
        <v>0</v>
      </c>
      <c r="W15" s="1">
        <f t="shared" si="5"/>
        <v>0</v>
      </c>
      <c r="Y15" s="1">
        <v>1</v>
      </c>
      <c r="Z15" s="1">
        <f t="shared" si="6"/>
        <v>200</v>
      </c>
    </row>
    <row r="16" spans="1:27" x14ac:dyDescent="0.25">
      <c r="A16" s="37"/>
      <c r="B16" s="41"/>
      <c r="C16" s="1" t="s">
        <v>67</v>
      </c>
      <c r="D16" s="1"/>
      <c r="E16" s="1"/>
      <c r="G16" s="1"/>
      <c r="I16" s="1">
        <f>SUM(H8:H15)</f>
        <v>160</v>
      </c>
      <c r="J16" s="1"/>
      <c r="L16" s="1">
        <f>SUM(K8:K15)</f>
        <v>306</v>
      </c>
      <c r="M16" s="1"/>
      <c r="O16" s="1">
        <f>SUM(N8:N15)</f>
        <v>300</v>
      </c>
      <c r="P16" s="1"/>
      <c r="R16" s="1">
        <f>SUM(Q8:Q15)</f>
        <v>580</v>
      </c>
      <c r="S16" s="1"/>
      <c r="T16" s="1"/>
      <c r="U16">
        <f>SUM(T8:T16)</f>
        <v>585</v>
      </c>
      <c r="V16" s="1"/>
      <c r="X16" s="1">
        <f>SUM(W8:W15)</f>
        <v>1800</v>
      </c>
      <c r="Y16" s="1"/>
      <c r="AA16" s="1">
        <f>SUM(Z8:Z15)</f>
        <v>1787</v>
      </c>
    </row>
    <row r="17" spans="1:26" x14ac:dyDescent="0.25">
      <c r="A17" s="37"/>
      <c r="B17" s="41"/>
      <c r="C17" s="7"/>
      <c r="D17" s="1"/>
      <c r="E17" s="1"/>
      <c r="G17" s="1"/>
      <c r="H17" s="1"/>
      <c r="J17" s="1"/>
      <c r="K17" s="1"/>
      <c r="M17" s="1"/>
      <c r="N17" s="1"/>
      <c r="P17" s="1"/>
      <c r="Q17" s="1"/>
      <c r="S17" s="1"/>
      <c r="T17" s="1"/>
      <c r="V17" s="1"/>
      <c r="W17" s="1"/>
      <c r="Y17" s="1"/>
      <c r="Z17" s="1"/>
    </row>
    <row r="18" spans="1:26" x14ac:dyDescent="0.25">
      <c r="A18" s="37"/>
      <c r="B18" s="41"/>
      <c r="C18" s="1"/>
      <c r="D18" s="1"/>
      <c r="E18" s="1"/>
      <c r="G18" s="1"/>
      <c r="H18" s="1"/>
      <c r="J18" s="1"/>
      <c r="K18" s="1"/>
      <c r="M18" s="1"/>
      <c r="N18" s="1"/>
      <c r="P18" s="1"/>
      <c r="Q18" s="1"/>
      <c r="S18" s="1"/>
      <c r="T18" s="1"/>
      <c r="V18" s="1"/>
      <c r="W18" s="1"/>
      <c r="Y18" s="1"/>
      <c r="Z18" s="1"/>
    </row>
    <row r="19" spans="1:26" x14ac:dyDescent="0.25">
      <c r="A19" s="37"/>
      <c r="B19" s="41"/>
      <c r="C19" s="7"/>
      <c r="D19" s="1"/>
      <c r="E19" s="1"/>
      <c r="G19" s="1"/>
      <c r="H19" s="1"/>
      <c r="I19" s="4"/>
      <c r="J19" s="1"/>
      <c r="K19" s="1"/>
      <c r="M19" s="1"/>
      <c r="N19" s="1"/>
      <c r="P19" s="1"/>
      <c r="Q19" s="1"/>
      <c r="S19" s="1"/>
      <c r="T19" s="1"/>
      <c r="V19" s="1"/>
      <c r="W19" s="1"/>
      <c r="Y19" s="1"/>
      <c r="Z19" s="1"/>
    </row>
    <row r="20" spans="1:26" x14ac:dyDescent="0.25">
      <c r="A20" s="37"/>
      <c r="B20" s="41"/>
      <c r="C20" s="7" t="s">
        <v>179</v>
      </c>
      <c r="D20" s="1"/>
      <c r="E20" s="1"/>
      <c r="G20" s="1"/>
      <c r="H20" s="1"/>
      <c r="I20" s="4"/>
      <c r="J20" s="1"/>
      <c r="K20" s="1"/>
      <c r="M20" s="1"/>
      <c r="N20" s="1"/>
      <c r="P20" s="1"/>
      <c r="Q20" s="1"/>
      <c r="S20" s="1"/>
      <c r="T20" s="1"/>
      <c r="V20" s="1"/>
      <c r="W20" s="1"/>
      <c r="Y20" s="1"/>
      <c r="Z20" s="1"/>
    </row>
    <row r="21" spans="1:26" x14ac:dyDescent="0.25">
      <c r="A21" s="37"/>
      <c r="B21" s="1" t="s">
        <v>533</v>
      </c>
      <c r="C21" s="1" t="s">
        <v>301</v>
      </c>
      <c r="D21" s="1"/>
      <c r="E21" s="1"/>
      <c r="G21" s="1">
        <v>1</v>
      </c>
      <c r="H21" s="1">
        <v>20</v>
      </c>
      <c r="I21" s="4"/>
      <c r="J21" s="1">
        <v>1</v>
      </c>
      <c r="K21" s="1">
        <v>20</v>
      </c>
      <c r="M21" s="1">
        <v>1</v>
      </c>
      <c r="N21" s="1">
        <v>20</v>
      </c>
      <c r="P21" s="1"/>
      <c r="Q21" s="1">
        <v>20</v>
      </c>
      <c r="S21" s="1"/>
      <c r="T21" s="1">
        <v>20</v>
      </c>
      <c r="V21" s="1"/>
      <c r="W21" s="1">
        <v>20</v>
      </c>
      <c r="Y21" s="1"/>
      <c r="Z21" s="1">
        <v>20</v>
      </c>
    </row>
    <row r="22" spans="1:26" x14ac:dyDescent="0.25">
      <c r="B22" s="1" t="s">
        <v>534</v>
      </c>
      <c r="C22" s="1" t="s">
        <v>480</v>
      </c>
      <c r="D22" s="1"/>
      <c r="E22" s="1"/>
      <c r="G22" s="1">
        <v>1</v>
      </c>
      <c r="H22" s="1">
        <f>I16*0.1</f>
        <v>16</v>
      </c>
      <c r="I22" s="4"/>
      <c r="J22" s="1"/>
      <c r="K22" s="1"/>
      <c r="M22" s="1"/>
      <c r="N22" s="1"/>
      <c r="P22" s="1"/>
      <c r="Q22" s="1"/>
      <c r="S22" s="1"/>
      <c r="T22" s="1"/>
      <c r="V22" s="1"/>
      <c r="W22" s="1">
        <v>180</v>
      </c>
      <c r="Y22" s="1"/>
      <c r="Z22" s="1">
        <v>178</v>
      </c>
    </row>
    <row r="23" spans="1:26" x14ac:dyDescent="0.25">
      <c r="B23" s="1" t="s">
        <v>535</v>
      </c>
      <c r="C23" s="1" t="s">
        <v>481</v>
      </c>
      <c r="D23" s="1"/>
      <c r="E23" s="1"/>
      <c r="G23" s="1"/>
      <c r="H23" s="1"/>
      <c r="I23" s="4"/>
      <c r="J23" s="1">
        <v>1</v>
      </c>
      <c r="K23" s="1">
        <f>L16*0.1</f>
        <v>30.6</v>
      </c>
      <c r="M23" s="1">
        <v>1</v>
      </c>
      <c r="N23" s="1">
        <f>O16*0.1</f>
        <v>30</v>
      </c>
      <c r="P23" s="1"/>
      <c r="Q23" s="1"/>
      <c r="S23" s="1"/>
      <c r="T23" s="1"/>
      <c r="V23" s="1"/>
      <c r="W23" s="1"/>
      <c r="Y23" s="1"/>
      <c r="Z23" s="1"/>
    </row>
    <row r="24" spans="1:26" x14ac:dyDescent="0.25">
      <c r="B24" s="1" t="s">
        <v>536</v>
      </c>
      <c r="C24" s="1" t="s">
        <v>482</v>
      </c>
      <c r="D24" s="1"/>
      <c r="E24" s="1"/>
      <c r="G24" s="1"/>
      <c r="H24" s="1"/>
      <c r="I24" s="4"/>
      <c r="J24" s="1"/>
      <c r="K24" s="1"/>
      <c r="M24" s="1"/>
      <c r="N24" s="1"/>
      <c r="P24" s="1">
        <v>1</v>
      </c>
      <c r="Q24" s="1">
        <f>R16*0.1</f>
        <v>58</v>
      </c>
      <c r="S24" s="1">
        <v>1</v>
      </c>
      <c r="T24" s="1">
        <f>U16*0.1</f>
        <v>58.5</v>
      </c>
      <c r="V24" s="1"/>
      <c r="W24" s="1"/>
      <c r="Y24" s="1"/>
      <c r="Z24" s="1"/>
    </row>
    <row r="25" spans="1:26" x14ac:dyDescent="0.25">
      <c r="B25" s="1" t="s">
        <v>537</v>
      </c>
      <c r="C25" s="1" t="s">
        <v>483</v>
      </c>
      <c r="D25" s="1"/>
      <c r="E25" s="1"/>
      <c r="G25" s="1"/>
      <c r="H25" s="1"/>
      <c r="I25" s="4"/>
      <c r="J25" s="1"/>
      <c r="K25" s="1"/>
      <c r="M25" s="1"/>
      <c r="N25" s="1"/>
      <c r="P25" s="1"/>
      <c r="Q25" s="1"/>
      <c r="S25" s="1"/>
      <c r="T25" s="1"/>
      <c r="V25" s="1">
        <v>1</v>
      </c>
      <c r="W25" s="1">
        <f>X16*0.1</f>
        <v>180</v>
      </c>
      <c r="Y25" s="1">
        <v>1</v>
      </c>
      <c r="Z25" s="1">
        <f>AA16*0.1</f>
        <v>178.70000000000002</v>
      </c>
    </row>
    <row r="26" spans="1:26" x14ac:dyDescent="0.25">
      <c r="B26" s="1"/>
      <c r="C26" s="1"/>
      <c r="D26" s="1"/>
      <c r="E26" s="1"/>
      <c r="G26" s="1"/>
      <c r="H26" s="1"/>
      <c r="I26" s="4"/>
      <c r="J26" s="1"/>
      <c r="K26" s="1"/>
      <c r="M26" s="1"/>
      <c r="N26" s="1"/>
      <c r="P26" s="1"/>
      <c r="Q26" s="1"/>
      <c r="S26" s="1"/>
      <c r="T26" s="1"/>
      <c r="W26" s="1"/>
      <c r="Y26" s="1"/>
      <c r="Z26" s="1"/>
    </row>
    <row r="27" spans="1:26" x14ac:dyDescent="0.25">
      <c r="B27" s="1"/>
      <c r="C27" s="1"/>
      <c r="D27" s="1"/>
      <c r="E27" s="1"/>
      <c r="G27" s="1"/>
      <c r="H27" s="1"/>
      <c r="I27" s="4"/>
      <c r="J27" s="1"/>
      <c r="K27" s="1"/>
      <c r="M27" s="1"/>
      <c r="N27" s="1"/>
      <c r="P27" s="1"/>
      <c r="Q27" s="1"/>
      <c r="S27" s="1"/>
      <c r="T27" s="1"/>
      <c r="V27" s="1"/>
      <c r="W27" s="1"/>
      <c r="Y27" s="1"/>
      <c r="Z27" s="1"/>
    </row>
    <row r="28" spans="1:26" s="17" customFormat="1" x14ac:dyDescent="0.25">
      <c r="B28" s="7"/>
      <c r="C28" s="7" t="s">
        <v>67</v>
      </c>
      <c r="D28" s="7"/>
      <c r="E28" s="7"/>
      <c r="G28" s="7"/>
      <c r="H28" s="7">
        <f>SUM(H8:H22)</f>
        <v>196</v>
      </c>
      <c r="I28" s="40"/>
      <c r="J28" s="7"/>
      <c r="K28" s="7">
        <f>SUM(K8:K22)</f>
        <v>326</v>
      </c>
      <c r="M28" s="7"/>
      <c r="N28" s="7">
        <f>SUM(N8:N25)</f>
        <v>350</v>
      </c>
      <c r="P28" s="7"/>
      <c r="Q28" s="7">
        <f>SUM(Q8:Q25)</f>
        <v>658</v>
      </c>
      <c r="S28" s="7"/>
      <c r="T28" s="7">
        <f>SUM(T8:T25)</f>
        <v>663.5</v>
      </c>
      <c r="V28" s="7"/>
      <c r="W28" s="7">
        <f>SUM(W8:W25)</f>
        <v>2180</v>
      </c>
      <c r="Y28" s="7"/>
      <c r="Z28" s="7">
        <f>SUM(Z8:Z25)</f>
        <v>2163.6999999999998</v>
      </c>
    </row>
    <row r="29" spans="1:26" x14ac:dyDescent="0.25">
      <c r="A29" s="8"/>
      <c r="B29" s="9"/>
      <c r="C29" s="1"/>
      <c r="D29" s="1"/>
      <c r="E29" s="1"/>
      <c r="G29" s="9"/>
      <c r="H29" s="9"/>
      <c r="I29" s="8"/>
      <c r="J29" s="9"/>
      <c r="K29" s="9"/>
      <c r="L29" s="8"/>
      <c r="M29" s="9"/>
      <c r="N29" s="1"/>
      <c r="P29" s="9"/>
      <c r="Q29" s="1"/>
      <c r="S29" s="9"/>
      <c r="T29" s="1"/>
      <c r="V29" s="9"/>
      <c r="W29" s="1"/>
      <c r="Y29" s="9"/>
      <c r="Z29" s="1"/>
    </row>
    <row r="32" spans="1:26" x14ac:dyDescent="0.25">
      <c r="A32" s="17" t="s">
        <v>211</v>
      </c>
      <c r="B32" s="17"/>
      <c r="C32" s="17" t="s">
        <v>317</v>
      </c>
    </row>
  </sheetData>
  <mergeCells count="7">
    <mergeCell ref="Y5:Z5"/>
    <mergeCell ref="G5:H5"/>
    <mergeCell ref="J5:K5"/>
    <mergeCell ref="M5:N5"/>
    <mergeCell ref="P5:Q5"/>
    <mergeCell ref="S5:T5"/>
    <mergeCell ref="V5:W5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1E4F-750A-48C4-AA84-4463A9678BF7}">
  <dimension ref="A1:Q34"/>
  <sheetViews>
    <sheetView workbookViewId="0">
      <selection activeCell="B7" sqref="B7"/>
    </sheetView>
  </sheetViews>
  <sheetFormatPr defaultRowHeight="16.5" x14ac:dyDescent="0.25"/>
  <cols>
    <col min="1" max="1" width="18.140625" customWidth="1"/>
    <col min="2" max="2" width="15.140625" customWidth="1"/>
    <col min="3" max="3" width="23.5703125" customWidth="1"/>
    <col min="4" max="4" width="42.42578125" customWidth="1"/>
  </cols>
  <sheetData>
    <row r="1" spans="1:17" x14ac:dyDescent="0.25">
      <c r="A1" s="17" t="s">
        <v>228</v>
      </c>
      <c r="B1" s="17"/>
      <c r="C1" s="17" t="s">
        <v>390</v>
      </c>
    </row>
    <row r="2" spans="1:17" x14ac:dyDescent="0.25">
      <c r="A2" s="17" t="s">
        <v>225</v>
      </c>
      <c r="B2" s="17"/>
      <c r="C2" s="17" t="s">
        <v>391</v>
      </c>
      <c r="D2" t="s">
        <v>175</v>
      </c>
    </row>
    <row r="3" spans="1:17" ht="17.25" thickBot="1" x14ac:dyDescent="0.3"/>
    <row r="4" spans="1:17" ht="17.25" thickBot="1" x14ac:dyDescent="0.3">
      <c r="A4" s="7" t="s">
        <v>392</v>
      </c>
      <c r="B4" s="17"/>
      <c r="C4" s="38"/>
      <c r="D4" s="17" t="s">
        <v>187</v>
      </c>
      <c r="E4" s="39">
        <v>0.4</v>
      </c>
      <c r="G4" s="47" t="s">
        <v>0</v>
      </c>
      <c r="H4" s="48"/>
      <c r="J4" s="47" t="s">
        <v>1</v>
      </c>
      <c r="K4" s="48"/>
      <c r="M4" s="47" t="s">
        <v>25</v>
      </c>
      <c r="N4" s="48"/>
      <c r="P4" s="47" t="s">
        <v>373</v>
      </c>
      <c r="Q4" s="48"/>
    </row>
    <row r="5" spans="1:17" x14ac:dyDescent="0.25">
      <c r="B5" s="7" t="s">
        <v>361</v>
      </c>
      <c r="C5" s="7" t="s">
        <v>186</v>
      </c>
      <c r="D5" s="7" t="s">
        <v>181</v>
      </c>
      <c r="E5" s="7" t="s">
        <v>3</v>
      </c>
      <c r="G5" s="18" t="s">
        <v>4</v>
      </c>
      <c r="H5" s="18" t="s">
        <v>5</v>
      </c>
      <c r="J5" s="18" t="s">
        <v>4</v>
      </c>
      <c r="K5" s="18" t="s">
        <v>5</v>
      </c>
      <c r="M5" s="18" t="s">
        <v>4</v>
      </c>
      <c r="N5" s="18" t="s">
        <v>5</v>
      </c>
      <c r="P5" s="18" t="s">
        <v>4</v>
      </c>
      <c r="Q5" s="18" t="s">
        <v>5</v>
      </c>
    </row>
    <row r="6" spans="1:17" x14ac:dyDescent="0.25">
      <c r="B6" s="1"/>
      <c r="C6" s="7"/>
      <c r="D6" s="7"/>
      <c r="E6" s="7"/>
      <c r="G6" s="18"/>
      <c r="H6" s="18"/>
      <c r="J6" s="18"/>
      <c r="K6" s="18"/>
      <c r="M6" s="18"/>
      <c r="N6" s="18"/>
      <c r="P6" s="18"/>
      <c r="Q6" s="18"/>
    </row>
    <row r="7" spans="1:17" x14ac:dyDescent="0.25">
      <c r="A7" s="37"/>
      <c r="B7" s="41" t="s">
        <v>538</v>
      </c>
      <c r="C7" s="1" t="s">
        <v>393</v>
      </c>
      <c r="D7" s="1" t="s">
        <v>394</v>
      </c>
      <c r="E7" s="1"/>
      <c r="G7" s="1"/>
      <c r="H7" s="1"/>
      <c r="J7" s="1"/>
      <c r="K7" s="1"/>
      <c r="M7" s="1"/>
      <c r="N7" s="1"/>
      <c r="P7" s="1"/>
      <c r="Q7" s="1"/>
    </row>
    <row r="8" spans="1:17" x14ac:dyDescent="0.25">
      <c r="A8" s="37"/>
      <c r="B8" s="41"/>
      <c r="C8" s="1"/>
      <c r="D8" s="1" t="s">
        <v>406</v>
      </c>
      <c r="E8" s="1"/>
      <c r="G8" s="1"/>
      <c r="H8" s="1"/>
      <c r="J8" s="1"/>
      <c r="K8" s="1"/>
      <c r="M8" s="1"/>
      <c r="N8" s="1"/>
      <c r="P8" s="1"/>
      <c r="Q8" s="1"/>
    </row>
    <row r="9" spans="1:17" x14ac:dyDescent="0.25">
      <c r="A9" s="37"/>
      <c r="B9" s="41"/>
      <c r="C9" s="1"/>
      <c r="D9" s="1" t="s">
        <v>407</v>
      </c>
      <c r="E9" s="1"/>
      <c r="G9" s="1"/>
      <c r="H9" s="1"/>
      <c r="J9" s="1"/>
      <c r="K9" s="1"/>
      <c r="M9" s="1"/>
      <c r="N9" s="1"/>
      <c r="P9" s="1"/>
      <c r="Q9" s="1"/>
    </row>
    <row r="10" spans="1:17" x14ac:dyDescent="0.25">
      <c r="A10" s="37"/>
      <c r="B10" s="41"/>
      <c r="C10" s="1"/>
      <c r="D10" s="1" t="s">
        <v>414</v>
      </c>
      <c r="E10" s="1"/>
      <c r="G10" s="1"/>
      <c r="H10" s="1"/>
      <c r="J10" s="1"/>
      <c r="K10" s="1"/>
      <c r="M10" s="1"/>
      <c r="N10" s="1"/>
      <c r="P10" s="1"/>
      <c r="Q10" s="1"/>
    </row>
    <row r="11" spans="1:17" x14ac:dyDescent="0.25">
      <c r="A11" s="37"/>
      <c r="B11" s="41" t="s">
        <v>539</v>
      </c>
      <c r="C11" s="1" t="s">
        <v>395</v>
      </c>
      <c r="D11" s="1" t="s">
        <v>397</v>
      </c>
      <c r="E11" s="1">
        <v>400</v>
      </c>
      <c r="G11" s="1">
        <v>0</v>
      </c>
      <c r="H11" s="1">
        <f>G11*E11</f>
        <v>0</v>
      </c>
      <c r="J11" s="1">
        <v>0</v>
      </c>
      <c r="K11" s="1">
        <f>J11*E11</f>
        <v>0</v>
      </c>
      <c r="M11" s="1">
        <v>0</v>
      </c>
      <c r="N11" s="1">
        <f>M11*E11</f>
        <v>0</v>
      </c>
      <c r="P11" s="1">
        <v>0</v>
      </c>
      <c r="Q11" s="1">
        <f>P11*E11</f>
        <v>0</v>
      </c>
    </row>
    <row r="12" spans="1:17" x14ac:dyDescent="0.25">
      <c r="A12" s="37"/>
      <c r="B12" s="41" t="s">
        <v>540</v>
      </c>
      <c r="C12" s="1" t="s">
        <v>409</v>
      </c>
      <c r="D12" s="1" t="s">
        <v>410</v>
      </c>
      <c r="E12" s="1"/>
      <c r="G12" s="1"/>
      <c r="H12" s="1"/>
      <c r="J12" s="1"/>
      <c r="K12" s="1"/>
      <c r="M12" s="1"/>
      <c r="N12" s="1"/>
      <c r="P12" s="1"/>
      <c r="Q12" s="1"/>
    </row>
    <row r="13" spans="1:17" x14ac:dyDescent="0.25">
      <c r="A13" s="37"/>
      <c r="B13" s="41" t="s">
        <v>541</v>
      </c>
      <c r="C13" s="1" t="s">
        <v>396</v>
      </c>
      <c r="D13" s="1" t="s">
        <v>398</v>
      </c>
      <c r="E13" s="1"/>
      <c r="G13" s="1">
        <v>0</v>
      </c>
      <c r="H13" s="1">
        <f>G13*E13</f>
        <v>0</v>
      </c>
      <c r="J13" s="1">
        <v>0</v>
      </c>
      <c r="K13" s="1">
        <v>0</v>
      </c>
      <c r="M13" s="1">
        <v>0</v>
      </c>
      <c r="N13" s="1">
        <v>0</v>
      </c>
      <c r="P13" s="1">
        <v>0</v>
      </c>
      <c r="Q13" s="1">
        <v>0</v>
      </c>
    </row>
    <row r="14" spans="1:17" x14ac:dyDescent="0.25">
      <c r="A14" s="37"/>
      <c r="B14" s="41" t="s">
        <v>542</v>
      </c>
      <c r="C14" s="1" t="s">
        <v>396</v>
      </c>
      <c r="D14" s="1" t="s">
        <v>411</v>
      </c>
      <c r="E14" s="1"/>
      <c r="G14" s="1"/>
      <c r="H14" s="1"/>
      <c r="J14" s="1"/>
      <c r="K14" s="1"/>
      <c r="M14" s="1"/>
      <c r="N14" s="1"/>
      <c r="P14" s="1"/>
      <c r="Q14" s="1"/>
    </row>
    <row r="15" spans="1:17" x14ac:dyDescent="0.25">
      <c r="A15" s="37"/>
      <c r="B15" s="41" t="s">
        <v>543</v>
      </c>
      <c r="C15" s="1" t="s">
        <v>399</v>
      </c>
      <c r="D15" s="1" t="s">
        <v>400</v>
      </c>
      <c r="E15" s="1"/>
      <c r="G15" s="1">
        <v>0</v>
      </c>
      <c r="H15" s="1">
        <f t="shared" ref="H15:H20" si="0">G15*E15</f>
        <v>0</v>
      </c>
      <c r="J15" s="1">
        <v>1</v>
      </c>
      <c r="K15" s="1">
        <f t="shared" ref="K15:K20" si="1">J15*E15</f>
        <v>0</v>
      </c>
      <c r="M15" s="1">
        <v>0</v>
      </c>
      <c r="N15" s="1">
        <f t="shared" ref="N15:N20" si="2">M15*E15</f>
        <v>0</v>
      </c>
      <c r="P15" s="1">
        <v>0</v>
      </c>
      <c r="Q15" s="1">
        <f t="shared" ref="Q15:Q20" si="3">P15*E15</f>
        <v>0</v>
      </c>
    </row>
    <row r="16" spans="1:17" x14ac:dyDescent="0.25">
      <c r="A16" s="37"/>
      <c r="B16" s="41" t="s">
        <v>544</v>
      </c>
      <c r="C16" s="1" t="s">
        <v>399</v>
      </c>
      <c r="D16" s="1" t="s">
        <v>401</v>
      </c>
      <c r="E16" s="1"/>
      <c r="G16" s="1">
        <v>0</v>
      </c>
      <c r="H16" s="1">
        <f t="shared" si="0"/>
        <v>0</v>
      </c>
      <c r="J16" s="1">
        <v>0</v>
      </c>
      <c r="K16" s="1">
        <f t="shared" si="1"/>
        <v>0</v>
      </c>
      <c r="M16" s="1">
        <v>0</v>
      </c>
      <c r="N16" s="1">
        <f t="shared" si="2"/>
        <v>0</v>
      </c>
      <c r="P16" s="1">
        <v>0</v>
      </c>
      <c r="Q16" s="1">
        <f t="shared" si="3"/>
        <v>0</v>
      </c>
    </row>
    <row r="17" spans="1:17" x14ac:dyDescent="0.25">
      <c r="A17" s="37"/>
      <c r="B17" s="41" t="s">
        <v>545</v>
      </c>
      <c r="C17" s="1" t="s">
        <v>399</v>
      </c>
      <c r="D17" s="1" t="s">
        <v>402</v>
      </c>
      <c r="E17" s="1"/>
      <c r="G17" s="1">
        <v>0</v>
      </c>
      <c r="H17" s="1">
        <f t="shared" si="0"/>
        <v>0</v>
      </c>
      <c r="J17" s="1">
        <v>0</v>
      </c>
      <c r="K17" s="1">
        <f t="shared" si="1"/>
        <v>0</v>
      </c>
      <c r="M17" s="1">
        <v>0</v>
      </c>
      <c r="N17" s="1">
        <f t="shared" si="2"/>
        <v>0</v>
      </c>
      <c r="P17" s="1">
        <v>0</v>
      </c>
      <c r="Q17" s="1">
        <f t="shared" si="3"/>
        <v>0</v>
      </c>
    </row>
    <row r="18" spans="1:17" x14ac:dyDescent="0.25">
      <c r="A18" s="37"/>
      <c r="B18" s="41" t="s">
        <v>546</v>
      </c>
      <c r="C18" s="1" t="s">
        <v>403</v>
      </c>
      <c r="D18" s="1"/>
      <c r="E18" s="1"/>
      <c r="G18" s="1">
        <v>0</v>
      </c>
      <c r="H18" s="1">
        <f t="shared" si="0"/>
        <v>0</v>
      </c>
      <c r="J18" s="1">
        <v>0</v>
      </c>
      <c r="K18" s="1">
        <f t="shared" si="1"/>
        <v>0</v>
      </c>
      <c r="M18" s="1">
        <v>0</v>
      </c>
      <c r="N18" s="1">
        <f t="shared" si="2"/>
        <v>0</v>
      </c>
      <c r="P18" s="1">
        <v>0</v>
      </c>
      <c r="Q18" s="1">
        <f t="shared" si="3"/>
        <v>0</v>
      </c>
    </row>
    <row r="19" spans="1:17" x14ac:dyDescent="0.25">
      <c r="A19" s="37"/>
      <c r="B19" s="41" t="s">
        <v>547</v>
      </c>
      <c r="C19" s="1" t="s">
        <v>404</v>
      </c>
      <c r="D19" s="1" t="s">
        <v>405</v>
      </c>
      <c r="E19" s="1"/>
      <c r="G19" s="1">
        <v>0</v>
      </c>
      <c r="H19" s="1">
        <f t="shared" si="0"/>
        <v>0</v>
      </c>
      <c r="J19" s="1">
        <v>0</v>
      </c>
      <c r="K19" s="1">
        <f t="shared" si="1"/>
        <v>0</v>
      </c>
      <c r="M19" s="1">
        <v>0</v>
      </c>
      <c r="N19" s="1">
        <f t="shared" si="2"/>
        <v>0</v>
      </c>
      <c r="P19" s="1">
        <v>0</v>
      </c>
      <c r="Q19" s="1">
        <f t="shared" si="3"/>
        <v>0</v>
      </c>
    </row>
    <row r="20" spans="1:17" x14ac:dyDescent="0.25">
      <c r="A20" s="37"/>
      <c r="B20" s="41" t="s">
        <v>519</v>
      </c>
      <c r="C20" s="1" t="s">
        <v>393</v>
      </c>
      <c r="D20" s="1" t="s">
        <v>405</v>
      </c>
      <c r="E20" s="1"/>
      <c r="G20" s="1">
        <v>0</v>
      </c>
      <c r="H20" s="1">
        <f t="shared" si="0"/>
        <v>0</v>
      </c>
      <c r="J20" s="1">
        <v>0</v>
      </c>
      <c r="K20" s="1">
        <f t="shared" si="1"/>
        <v>0</v>
      </c>
      <c r="M20" s="1">
        <v>0</v>
      </c>
      <c r="N20" s="1">
        <f t="shared" si="2"/>
        <v>0</v>
      </c>
      <c r="P20" s="1">
        <v>0</v>
      </c>
      <c r="Q20" s="1">
        <f t="shared" si="3"/>
        <v>0</v>
      </c>
    </row>
    <row r="21" spans="1:17" x14ac:dyDescent="0.25">
      <c r="A21" s="37"/>
      <c r="B21" s="41" t="s">
        <v>520</v>
      </c>
      <c r="C21" s="1" t="s">
        <v>408</v>
      </c>
      <c r="D21" s="1" t="s">
        <v>405</v>
      </c>
      <c r="E21" s="1"/>
      <c r="G21" s="1"/>
      <c r="H21" s="1"/>
      <c r="J21" s="1"/>
      <c r="K21" s="1"/>
      <c r="M21" s="1"/>
      <c r="N21" s="1"/>
      <c r="P21" s="1"/>
      <c r="Q21" s="1"/>
    </row>
    <row r="22" spans="1:17" x14ac:dyDescent="0.25">
      <c r="A22" s="37"/>
      <c r="B22" s="41" t="s">
        <v>548</v>
      </c>
      <c r="C22" s="1" t="s">
        <v>412</v>
      </c>
      <c r="D22" s="1" t="s">
        <v>413</v>
      </c>
      <c r="E22" s="1"/>
      <c r="G22" s="1"/>
      <c r="H22" s="1"/>
      <c r="J22" s="1"/>
      <c r="K22" s="1"/>
      <c r="M22" s="1"/>
      <c r="N22" s="1"/>
      <c r="P22" s="1"/>
      <c r="Q22" s="1"/>
    </row>
    <row r="23" spans="1:17" x14ac:dyDescent="0.25">
      <c r="A23" s="37"/>
      <c r="B23" s="41"/>
      <c r="C23" s="1"/>
      <c r="D23" s="1"/>
      <c r="E23" s="1"/>
      <c r="G23" s="1"/>
      <c r="H23" s="1"/>
      <c r="J23" s="1"/>
      <c r="K23" s="1"/>
      <c r="M23" s="1"/>
      <c r="N23" s="1"/>
      <c r="P23" s="1"/>
      <c r="Q23" s="1"/>
    </row>
    <row r="24" spans="1:17" x14ac:dyDescent="0.25">
      <c r="A24" s="37"/>
      <c r="B24" s="41"/>
      <c r="C24" s="1"/>
      <c r="D24" s="1"/>
      <c r="E24" s="1"/>
      <c r="G24" s="1"/>
      <c r="H24" s="1"/>
      <c r="J24" s="1"/>
      <c r="K24" s="1"/>
      <c r="M24" s="1"/>
      <c r="N24" s="1"/>
      <c r="P24" s="1"/>
      <c r="Q24" s="1"/>
    </row>
    <row r="25" spans="1:17" x14ac:dyDescent="0.25">
      <c r="A25" s="37"/>
      <c r="B25" s="41"/>
      <c r="C25" s="1"/>
      <c r="D25" s="1"/>
      <c r="E25" s="1"/>
      <c r="G25" s="1"/>
      <c r="H25" s="1"/>
      <c r="J25" s="1"/>
      <c r="K25" s="1"/>
      <c r="M25" s="1"/>
      <c r="N25" s="1"/>
      <c r="P25" s="1"/>
      <c r="Q25" s="1"/>
    </row>
    <row r="26" spans="1:17" x14ac:dyDescent="0.25">
      <c r="A26" s="37"/>
      <c r="B26" s="41"/>
      <c r="C26" s="1"/>
      <c r="D26" s="1"/>
      <c r="E26" s="1"/>
      <c r="G26" s="1"/>
      <c r="H26" s="1"/>
      <c r="J26" s="1"/>
      <c r="K26" s="1"/>
      <c r="M26" s="1"/>
      <c r="N26" s="1"/>
      <c r="P26" s="1"/>
      <c r="Q26" s="1"/>
    </row>
    <row r="27" spans="1:17" x14ac:dyDescent="0.25">
      <c r="A27" s="37"/>
      <c r="B27" s="41"/>
      <c r="C27" s="1"/>
      <c r="D27" s="1"/>
      <c r="E27" s="1"/>
      <c r="G27" s="1"/>
      <c r="H27" s="1"/>
      <c r="J27" s="1"/>
      <c r="K27" s="1"/>
      <c r="M27" s="1"/>
      <c r="N27" s="1"/>
      <c r="P27" s="1"/>
      <c r="Q27" s="1"/>
    </row>
    <row r="28" spans="1:17" x14ac:dyDescent="0.25">
      <c r="A28" s="17"/>
      <c r="B28" s="41"/>
      <c r="C28" s="1"/>
      <c r="D28" s="1"/>
      <c r="E28" s="1"/>
      <c r="G28" s="1"/>
      <c r="H28" s="1"/>
      <c r="J28" s="1"/>
      <c r="K28" s="1"/>
      <c r="M28" s="1"/>
      <c r="N28" s="1"/>
      <c r="P28" s="1"/>
      <c r="Q28" s="1"/>
    </row>
    <row r="29" spans="1:17" x14ac:dyDescent="0.25">
      <c r="B29" s="41"/>
      <c r="C29" s="7" t="s">
        <v>179</v>
      </c>
      <c r="D29" s="1"/>
      <c r="E29" s="1"/>
      <c r="G29" s="1"/>
      <c r="H29" s="1"/>
      <c r="I29" s="4"/>
      <c r="J29" s="1"/>
      <c r="K29" s="1">
        <f t="shared" ref="K29" si="4">J29*E29</f>
        <v>0</v>
      </c>
      <c r="M29" s="1"/>
      <c r="N29" s="1"/>
      <c r="P29" s="1"/>
      <c r="Q29" s="1"/>
    </row>
    <row r="30" spans="1:17" x14ac:dyDescent="0.25">
      <c r="B30" s="41" t="s">
        <v>549</v>
      </c>
      <c r="C30" s="1" t="s">
        <v>301</v>
      </c>
      <c r="D30" s="1"/>
      <c r="E30" s="1">
        <v>20</v>
      </c>
      <c r="G30" s="1">
        <v>0</v>
      </c>
      <c r="H30" s="1">
        <v>4</v>
      </c>
      <c r="I30" s="4"/>
      <c r="J30" s="1">
        <v>0</v>
      </c>
      <c r="K30" s="1">
        <v>4</v>
      </c>
      <c r="M30" s="1">
        <v>1</v>
      </c>
      <c r="N30" s="1">
        <f t="shared" ref="N30" si="5">E30*M30</f>
        <v>20</v>
      </c>
      <c r="P30" s="1">
        <v>0</v>
      </c>
      <c r="Q30" s="1">
        <v>20</v>
      </c>
    </row>
    <row r="31" spans="1:17" x14ac:dyDescent="0.25">
      <c r="A31" s="37"/>
      <c r="B31" s="41" t="s">
        <v>550</v>
      </c>
      <c r="C31" s="1" t="s">
        <v>201</v>
      </c>
      <c r="D31" s="1"/>
      <c r="E31" s="1"/>
      <c r="G31" s="1">
        <v>0</v>
      </c>
      <c r="H31" s="1">
        <v>18</v>
      </c>
      <c r="I31" s="4"/>
      <c r="J31" s="1">
        <v>0</v>
      </c>
      <c r="K31" s="1">
        <v>31</v>
      </c>
      <c r="M31" s="1">
        <v>0</v>
      </c>
      <c r="N31" s="1">
        <v>60</v>
      </c>
      <c r="P31" s="1">
        <v>0</v>
      </c>
      <c r="Q31" s="1">
        <v>155</v>
      </c>
    </row>
    <row r="32" spans="1:17" x14ac:dyDescent="0.25">
      <c r="B32" s="1"/>
      <c r="C32" s="1"/>
      <c r="D32" s="1"/>
      <c r="E32" s="1"/>
      <c r="G32" s="1"/>
      <c r="H32" s="1"/>
      <c r="I32" s="4"/>
      <c r="J32" s="1"/>
      <c r="K32" s="1"/>
      <c r="M32" s="1"/>
      <c r="N32" s="1"/>
      <c r="P32" s="1"/>
      <c r="Q32" s="1"/>
    </row>
    <row r="33" spans="1:17" s="17" customFormat="1" x14ac:dyDescent="0.25">
      <c r="B33" s="7"/>
      <c r="C33" s="7" t="s">
        <v>18</v>
      </c>
      <c r="D33" s="7"/>
      <c r="E33" s="7"/>
      <c r="G33" s="7"/>
      <c r="H33" s="7">
        <f>SUM(H11:H32)</f>
        <v>22</v>
      </c>
      <c r="I33" s="40"/>
      <c r="J33" s="7"/>
      <c r="K33" s="7">
        <f>SUM(K11:K32)</f>
        <v>35</v>
      </c>
      <c r="M33" s="7"/>
      <c r="N33" s="7">
        <f>SUM(N7:N32)</f>
        <v>80</v>
      </c>
      <c r="P33" s="1"/>
      <c r="Q33" s="7">
        <f>SUM(Q7:Q32)</f>
        <v>175</v>
      </c>
    </row>
    <row r="34" spans="1:17" x14ac:dyDescent="0.25">
      <c r="A34" s="8"/>
      <c r="B34" s="9"/>
      <c r="C34" s="1"/>
      <c r="D34" s="1"/>
      <c r="E34" s="1"/>
      <c r="G34" s="9"/>
      <c r="H34" s="9"/>
      <c r="I34" s="8"/>
      <c r="J34" s="9"/>
      <c r="K34" s="9"/>
      <c r="L34" s="8"/>
      <c r="M34" s="9"/>
      <c r="N34" s="1"/>
      <c r="P34" s="9"/>
      <c r="Q34" s="1"/>
    </row>
  </sheetData>
  <mergeCells count="4">
    <mergeCell ref="G4:H4"/>
    <mergeCell ref="J4:K4"/>
    <mergeCell ref="M4:N4"/>
    <mergeCell ref="P4:Q4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A8DA-1188-4841-87DE-9C076FF5795D}">
  <dimension ref="A1:N26"/>
  <sheetViews>
    <sheetView workbookViewId="0">
      <selection activeCell="B9" sqref="B9"/>
    </sheetView>
  </sheetViews>
  <sheetFormatPr defaultRowHeight="16.5" x14ac:dyDescent="0.25"/>
  <cols>
    <col min="1" max="1" width="17.42578125" customWidth="1"/>
    <col min="2" max="2" width="15.7109375" customWidth="1"/>
    <col min="3" max="3" width="28.140625" customWidth="1"/>
    <col min="4" max="4" width="50" customWidth="1"/>
    <col min="14" max="14" width="9.28515625" customWidth="1"/>
  </cols>
  <sheetData>
    <row r="1" spans="1:14" x14ac:dyDescent="0.25">
      <c r="A1" s="17" t="s">
        <v>228</v>
      </c>
      <c r="B1" s="17"/>
      <c r="C1" s="17" t="s">
        <v>415</v>
      </c>
    </row>
    <row r="2" spans="1:14" x14ac:dyDescent="0.25">
      <c r="A2" s="17" t="s">
        <v>225</v>
      </c>
      <c r="B2" s="17"/>
      <c r="C2" s="17" t="s">
        <v>420</v>
      </c>
      <c r="D2" t="s">
        <v>175</v>
      </c>
    </row>
    <row r="3" spans="1:14" ht="17.25" thickBot="1" x14ac:dyDescent="0.3"/>
    <row r="4" spans="1:14" ht="17.25" thickBot="1" x14ac:dyDescent="0.3">
      <c r="A4" s="7" t="s">
        <v>416</v>
      </c>
      <c r="B4" s="17"/>
      <c r="C4" s="38"/>
      <c r="D4" s="17" t="s">
        <v>187</v>
      </c>
      <c r="E4" s="39">
        <v>0.4</v>
      </c>
      <c r="G4" s="47" t="s">
        <v>433</v>
      </c>
      <c r="H4" s="48"/>
      <c r="J4" s="47" t="s">
        <v>434</v>
      </c>
      <c r="K4" s="48"/>
      <c r="M4" s="47" t="s">
        <v>432</v>
      </c>
      <c r="N4" s="48"/>
    </row>
    <row r="5" spans="1:14" x14ac:dyDescent="0.25">
      <c r="B5" s="7" t="s">
        <v>361</v>
      </c>
      <c r="C5" s="7" t="s">
        <v>186</v>
      </c>
      <c r="D5" s="7" t="s">
        <v>181</v>
      </c>
      <c r="E5" s="7" t="s">
        <v>3</v>
      </c>
      <c r="G5" s="18" t="s">
        <v>4</v>
      </c>
      <c r="H5" s="18" t="s">
        <v>5</v>
      </c>
      <c r="J5" s="18" t="s">
        <v>4</v>
      </c>
      <c r="K5" s="18" t="s">
        <v>5</v>
      </c>
      <c r="M5" s="18" t="s">
        <v>4</v>
      </c>
      <c r="N5" s="18" t="s">
        <v>5</v>
      </c>
    </row>
    <row r="6" spans="1:14" x14ac:dyDescent="0.25">
      <c r="B6" s="1"/>
      <c r="C6" s="7"/>
      <c r="D6" s="7"/>
      <c r="E6" s="7"/>
      <c r="G6" s="18"/>
      <c r="H6" s="18"/>
      <c r="J6" s="18"/>
      <c r="K6" s="18"/>
      <c r="M6" s="18"/>
      <c r="N6" s="18"/>
    </row>
    <row r="7" spans="1:14" x14ac:dyDescent="0.25">
      <c r="A7" s="37"/>
      <c r="B7" s="41"/>
      <c r="C7" s="1"/>
      <c r="D7" s="1"/>
      <c r="E7" s="1"/>
      <c r="G7" s="1"/>
      <c r="H7" s="1"/>
      <c r="J7" s="1"/>
      <c r="K7" s="1"/>
      <c r="M7" s="1"/>
      <c r="N7" s="1"/>
    </row>
    <row r="8" spans="1:14" x14ac:dyDescent="0.25">
      <c r="A8" s="37"/>
      <c r="B8" s="41"/>
      <c r="C8" s="7"/>
      <c r="D8" s="1"/>
      <c r="E8" s="1"/>
      <c r="G8" s="1"/>
      <c r="H8" s="1"/>
      <c r="J8" s="1"/>
      <c r="K8" s="1"/>
      <c r="M8" s="1"/>
      <c r="N8" s="1"/>
    </row>
    <row r="9" spans="1:14" x14ac:dyDescent="0.25">
      <c r="A9" s="37"/>
      <c r="B9" s="41" t="s">
        <v>551</v>
      </c>
      <c r="C9" s="1" t="s">
        <v>417</v>
      </c>
      <c r="D9" s="1" t="s">
        <v>418</v>
      </c>
      <c r="E9" s="1">
        <v>10</v>
      </c>
      <c r="G9" s="1">
        <v>1</v>
      </c>
      <c r="H9" s="1">
        <f>G9*E9</f>
        <v>10</v>
      </c>
      <c r="J9" s="1">
        <v>0</v>
      </c>
      <c r="K9" s="1">
        <f>J9*E9</f>
        <v>0</v>
      </c>
      <c r="M9" s="1">
        <v>1</v>
      </c>
      <c r="N9" s="1">
        <f>M9*E9</f>
        <v>10</v>
      </c>
    </row>
    <row r="10" spans="1:14" x14ac:dyDescent="0.25">
      <c r="A10" s="37"/>
      <c r="B10" s="41" t="s">
        <v>552</v>
      </c>
      <c r="C10" s="1" t="s">
        <v>421</v>
      </c>
      <c r="D10" s="1" t="s">
        <v>440</v>
      </c>
      <c r="E10" s="1">
        <v>20</v>
      </c>
      <c r="G10" s="1">
        <v>1</v>
      </c>
      <c r="H10" s="1">
        <f t="shared" ref="H10:H21" si="0">G10*E10</f>
        <v>20</v>
      </c>
      <c r="J10" s="1">
        <v>0</v>
      </c>
      <c r="K10" s="1">
        <f t="shared" ref="K10:K21" si="1">J10*E10</f>
        <v>0</v>
      </c>
      <c r="M10" s="1">
        <v>0</v>
      </c>
      <c r="N10" s="1">
        <f t="shared" ref="N10:N21" si="2">M10*E10</f>
        <v>0</v>
      </c>
    </row>
    <row r="11" spans="1:14" x14ac:dyDescent="0.25">
      <c r="A11" s="37"/>
      <c r="B11" s="41" t="s">
        <v>553</v>
      </c>
      <c r="C11" s="1" t="s">
        <v>421</v>
      </c>
      <c r="D11" s="1" t="s">
        <v>439</v>
      </c>
      <c r="E11" s="1">
        <v>20</v>
      </c>
      <c r="G11" s="1">
        <v>0</v>
      </c>
      <c r="H11" s="1">
        <f t="shared" si="0"/>
        <v>0</v>
      </c>
      <c r="J11" s="1">
        <v>0</v>
      </c>
      <c r="K11" s="1">
        <f t="shared" si="1"/>
        <v>0</v>
      </c>
      <c r="M11" s="1">
        <v>2</v>
      </c>
      <c r="N11" s="1">
        <f>M11*E11</f>
        <v>40</v>
      </c>
    </row>
    <row r="12" spans="1:14" x14ac:dyDescent="0.25">
      <c r="A12" s="37"/>
      <c r="B12" s="41" t="s">
        <v>554</v>
      </c>
      <c r="C12" s="1" t="s">
        <v>425</v>
      </c>
      <c r="D12" s="1" t="s">
        <v>436</v>
      </c>
      <c r="E12" s="1">
        <v>4</v>
      </c>
      <c r="G12" s="1">
        <v>30</v>
      </c>
      <c r="H12" s="1">
        <f t="shared" si="0"/>
        <v>120</v>
      </c>
      <c r="J12" s="1">
        <v>0</v>
      </c>
      <c r="K12" s="1">
        <f t="shared" si="1"/>
        <v>0</v>
      </c>
      <c r="M12" s="1">
        <v>30</v>
      </c>
      <c r="N12" s="1">
        <f>M12*E12</f>
        <v>120</v>
      </c>
    </row>
    <row r="13" spans="1:14" x14ac:dyDescent="0.25">
      <c r="A13" s="37"/>
      <c r="B13" s="41" t="s">
        <v>555</v>
      </c>
      <c r="C13" s="1" t="s">
        <v>426</v>
      </c>
      <c r="D13" s="1" t="s">
        <v>435</v>
      </c>
      <c r="E13" s="1">
        <v>9</v>
      </c>
      <c r="G13" s="1">
        <v>0</v>
      </c>
      <c r="H13" s="1">
        <f t="shared" si="0"/>
        <v>0</v>
      </c>
      <c r="J13" s="1">
        <v>10</v>
      </c>
      <c r="K13" s="1">
        <f t="shared" si="1"/>
        <v>90</v>
      </c>
      <c r="M13" s="1">
        <v>10</v>
      </c>
      <c r="N13" s="1">
        <f>M13*E13</f>
        <v>90</v>
      </c>
    </row>
    <row r="14" spans="1:14" x14ac:dyDescent="0.25">
      <c r="A14" s="37"/>
      <c r="B14" s="41" t="s">
        <v>556</v>
      </c>
      <c r="C14" s="1" t="s">
        <v>427</v>
      </c>
      <c r="D14" s="1" t="s">
        <v>441</v>
      </c>
      <c r="E14" s="1">
        <v>30</v>
      </c>
      <c r="G14" s="1">
        <v>1</v>
      </c>
      <c r="H14" s="1">
        <f t="shared" si="0"/>
        <v>30</v>
      </c>
      <c r="J14" s="1">
        <v>0</v>
      </c>
      <c r="K14" s="1">
        <f t="shared" si="1"/>
        <v>0</v>
      </c>
      <c r="M14" s="1">
        <v>0</v>
      </c>
      <c r="N14" s="1">
        <f t="shared" si="2"/>
        <v>0</v>
      </c>
    </row>
    <row r="15" spans="1:14" x14ac:dyDescent="0.25">
      <c r="A15" s="37"/>
      <c r="B15" s="41" t="s">
        <v>557</v>
      </c>
      <c r="C15" s="1" t="s">
        <v>427</v>
      </c>
      <c r="D15" s="1" t="s">
        <v>442</v>
      </c>
      <c r="E15" s="1">
        <v>30</v>
      </c>
      <c r="G15" s="1">
        <v>0</v>
      </c>
      <c r="H15" s="1">
        <f t="shared" si="0"/>
        <v>0</v>
      </c>
      <c r="J15" s="1">
        <v>0</v>
      </c>
      <c r="K15" s="1">
        <f t="shared" si="1"/>
        <v>0</v>
      </c>
      <c r="M15" s="1">
        <v>2</v>
      </c>
      <c r="N15" s="1">
        <f t="shared" si="2"/>
        <v>60</v>
      </c>
    </row>
    <row r="16" spans="1:14" x14ac:dyDescent="0.25">
      <c r="A16" s="37"/>
      <c r="B16" s="41" t="s">
        <v>558</v>
      </c>
      <c r="C16" s="1" t="s">
        <v>428</v>
      </c>
      <c r="D16" s="1" t="s">
        <v>443</v>
      </c>
      <c r="E16" s="1">
        <v>55</v>
      </c>
      <c r="G16" s="1">
        <v>0</v>
      </c>
      <c r="H16" s="1">
        <f t="shared" si="0"/>
        <v>0</v>
      </c>
      <c r="J16" s="1">
        <v>2</v>
      </c>
      <c r="K16" s="1">
        <f t="shared" si="1"/>
        <v>110</v>
      </c>
      <c r="M16" s="1">
        <v>2</v>
      </c>
      <c r="N16" s="1">
        <f t="shared" si="2"/>
        <v>110</v>
      </c>
    </row>
    <row r="17" spans="1:14" x14ac:dyDescent="0.25">
      <c r="A17" s="37"/>
      <c r="B17" s="41" t="s">
        <v>559</v>
      </c>
      <c r="C17" s="1" t="s">
        <v>429</v>
      </c>
      <c r="D17" s="1" t="s">
        <v>437</v>
      </c>
      <c r="E17" s="1">
        <v>25</v>
      </c>
      <c r="G17" s="1">
        <v>1</v>
      </c>
      <c r="H17" s="1">
        <f t="shared" si="0"/>
        <v>25</v>
      </c>
      <c r="J17" s="1">
        <v>0</v>
      </c>
      <c r="K17" s="1">
        <f t="shared" si="1"/>
        <v>0</v>
      </c>
      <c r="M17" s="1">
        <v>0</v>
      </c>
      <c r="N17" s="1">
        <f t="shared" si="2"/>
        <v>0</v>
      </c>
    </row>
    <row r="18" spans="1:14" x14ac:dyDescent="0.25">
      <c r="A18" s="37"/>
      <c r="B18" s="41" t="s">
        <v>560</v>
      </c>
      <c r="C18" s="1" t="s">
        <v>429</v>
      </c>
      <c r="D18" s="1" t="s">
        <v>438</v>
      </c>
      <c r="E18" s="1">
        <v>25</v>
      </c>
      <c r="G18" s="1">
        <v>0</v>
      </c>
      <c r="H18" s="1">
        <f t="shared" si="0"/>
        <v>0</v>
      </c>
      <c r="J18" s="1">
        <v>0</v>
      </c>
      <c r="K18" s="1">
        <f t="shared" si="1"/>
        <v>0</v>
      </c>
      <c r="M18" s="1">
        <v>2</v>
      </c>
      <c r="N18" s="1">
        <f t="shared" si="2"/>
        <v>50</v>
      </c>
    </row>
    <row r="19" spans="1:14" x14ac:dyDescent="0.25">
      <c r="A19" s="37"/>
      <c r="B19" s="41" t="s">
        <v>561</v>
      </c>
      <c r="C19" s="1" t="s">
        <v>430</v>
      </c>
      <c r="D19" s="1" t="s">
        <v>444</v>
      </c>
      <c r="E19" s="1">
        <v>30</v>
      </c>
      <c r="G19" s="1">
        <v>0</v>
      </c>
      <c r="H19" s="1">
        <f t="shared" si="0"/>
        <v>0</v>
      </c>
      <c r="J19" s="1">
        <v>0</v>
      </c>
      <c r="K19" s="1">
        <f t="shared" si="1"/>
        <v>0</v>
      </c>
      <c r="M19" s="1">
        <v>2</v>
      </c>
      <c r="N19" s="1">
        <f t="shared" si="2"/>
        <v>60</v>
      </c>
    </row>
    <row r="20" spans="1:14" x14ac:dyDescent="0.25">
      <c r="A20" s="37"/>
      <c r="B20" s="41" t="s">
        <v>562</v>
      </c>
      <c r="C20" s="1" t="s">
        <v>423</v>
      </c>
      <c r="D20" s="1" t="s">
        <v>419</v>
      </c>
      <c r="E20" s="1">
        <v>45</v>
      </c>
      <c r="G20" s="1">
        <v>0</v>
      </c>
      <c r="H20" s="1">
        <f t="shared" si="0"/>
        <v>0</v>
      </c>
      <c r="J20" s="1">
        <v>1</v>
      </c>
      <c r="K20" s="1">
        <f t="shared" si="1"/>
        <v>45</v>
      </c>
      <c r="M20" s="1">
        <v>1</v>
      </c>
      <c r="N20" s="1">
        <f t="shared" si="2"/>
        <v>45</v>
      </c>
    </row>
    <row r="21" spans="1:14" x14ac:dyDescent="0.25">
      <c r="A21" s="37"/>
      <c r="B21" s="41" t="s">
        <v>563</v>
      </c>
      <c r="C21" s="1" t="s">
        <v>424</v>
      </c>
      <c r="D21" s="1" t="s">
        <v>431</v>
      </c>
      <c r="E21" s="1">
        <v>60</v>
      </c>
      <c r="G21" s="1">
        <v>0</v>
      </c>
      <c r="H21" s="1">
        <f t="shared" si="0"/>
        <v>0</v>
      </c>
      <c r="J21" s="1">
        <v>1</v>
      </c>
      <c r="K21" s="1">
        <f t="shared" si="1"/>
        <v>60</v>
      </c>
      <c r="M21" s="1">
        <v>1</v>
      </c>
      <c r="N21" s="1">
        <f t="shared" si="2"/>
        <v>60</v>
      </c>
    </row>
    <row r="22" spans="1:14" x14ac:dyDescent="0.25">
      <c r="A22" s="37"/>
      <c r="B22" s="41"/>
      <c r="C22" s="1"/>
      <c r="D22" s="1"/>
      <c r="E22" s="1"/>
      <c r="G22" s="1"/>
      <c r="H22" s="1"/>
      <c r="J22" s="1"/>
      <c r="K22" s="1"/>
      <c r="M22" s="1"/>
      <c r="N22" s="1"/>
    </row>
    <row r="23" spans="1:14" x14ac:dyDescent="0.25">
      <c r="A23" s="37"/>
      <c r="B23" s="41"/>
      <c r="C23" s="1"/>
      <c r="D23" s="1"/>
      <c r="E23" s="1"/>
      <c r="G23" s="1"/>
      <c r="H23" s="1"/>
      <c r="J23" s="1"/>
      <c r="K23" s="1"/>
      <c r="M23" s="1"/>
      <c r="N23" s="1"/>
    </row>
    <row r="24" spans="1:14" x14ac:dyDescent="0.25">
      <c r="B24" s="1"/>
      <c r="C24" s="1"/>
      <c r="D24" s="1"/>
      <c r="E24" s="1"/>
      <c r="G24" s="1"/>
      <c r="H24" s="1"/>
      <c r="I24" s="4"/>
      <c r="J24" s="1"/>
      <c r="K24" s="1"/>
      <c r="M24" s="1"/>
      <c r="N24" s="1"/>
    </row>
    <row r="25" spans="1:14" s="17" customFormat="1" x14ac:dyDescent="0.25">
      <c r="B25" s="7"/>
      <c r="C25" s="7" t="s">
        <v>18</v>
      </c>
      <c r="D25" s="7"/>
      <c r="E25" s="7"/>
      <c r="G25" s="7"/>
      <c r="H25" s="7">
        <f>SUM(H9:H24)</f>
        <v>205</v>
      </c>
      <c r="I25" s="40"/>
      <c r="J25" s="7"/>
      <c r="K25" s="7">
        <f>SUM(K10:K24)</f>
        <v>305</v>
      </c>
      <c r="M25" s="7"/>
      <c r="N25" s="7">
        <f>SUM(N7:N24)</f>
        <v>645</v>
      </c>
    </row>
    <row r="26" spans="1:14" x14ac:dyDescent="0.25">
      <c r="A26" s="8"/>
      <c r="B26" s="9"/>
      <c r="C26" s="1"/>
      <c r="D26" s="1"/>
      <c r="E26" s="1"/>
      <c r="G26" s="9"/>
      <c r="H26" s="9"/>
      <c r="I26" s="8"/>
      <c r="J26" s="9"/>
      <c r="K26" s="9"/>
      <c r="L26" s="8"/>
      <c r="M26" s="9"/>
      <c r="N26" s="1"/>
    </row>
  </sheetData>
  <mergeCells count="3">
    <mergeCell ref="G4:H4"/>
    <mergeCell ref="J4:K4"/>
    <mergeCell ref="M4:N4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91AC-3F5C-48A6-9F55-A3053B40EB36}">
  <dimension ref="A1:P28"/>
  <sheetViews>
    <sheetView topLeftCell="A9" workbookViewId="0">
      <selection activeCell="D28" sqref="D28"/>
    </sheetView>
  </sheetViews>
  <sheetFormatPr defaultRowHeight="16.5" x14ac:dyDescent="0.25"/>
  <cols>
    <col min="1" max="1" width="19.7109375" customWidth="1"/>
    <col min="2" max="2" width="35.140625" customWidth="1"/>
    <col min="3" max="3" width="20.140625" customWidth="1"/>
    <col min="4" max="4" width="11.140625" customWidth="1"/>
    <col min="6" max="6" width="10.42578125" customWidth="1"/>
    <col min="14" max="14" width="7" customWidth="1"/>
    <col min="15" max="15" width="10.5703125" customWidth="1"/>
    <col min="16" max="16" width="9.7109375" customWidth="1"/>
  </cols>
  <sheetData>
    <row r="1" spans="1:16" x14ac:dyDescent="0.25">
      <c r="A1" s="17" t="s">
        <v>228</v>
      </c>
      <c r="B1" s="17" t="s">
        <v>281</v>
      </c>
    </row>
    <row r="2" spans="1:16" x14ac:dyDescent="0.25">
      <c r="A2" s="17" t="s">
        <v>225</v>
      </c>
      <c r="B2" s="17" t="s">
        <v>282</v>
      </c>
    </row>
    <row r="4" spans="1:16" s="17" customFormat="1" ht="17.25" thickBot="1" x14ac:dyDescent="0.3">
      <c r="A4" s="36" t="s">
        <v>283</v>
      </c>
      <c r="C4" s="38"/>
      <c r="E4" s="39"/>
      <c r="G4" s="53"/>
      <c r="H4" s="53"/>
      <c r="J4" s="53"/>
      <c r="K4" s="53"/>
      <c r="M4" s="53"/>
      <c r="N4" s="53"/>
      <c r="P4" s="42"/>
    </row>
    <row r="5" spans="1:16" s="17" customFormat="1" ht="17.25" thickBot="1" x14ac:dyDescent="0.3">
      <c r="A5" s="36" t="s">
        <v>284</v>
      </c>
      <c r="B5" s="38"/>
      <c r="C5" s="17" t="s">
        <v>187</v>
      </c>
      <c r="D5" s="39">
        <v>0.4</v>
      </c>
      <c r="F5" s="47" t="s">
        <v>0</v>
      </c>
      <c r="G5" s="48"/>
      <c r="I5" s="47" t="s">
        <v>1</v>
      </c>
      <c r="J5" s="48"/>
      <c r="L5" s="51" t="s">
        <v>25</v>
      </c>
      <c r="M5" s="52"/>
      <c r="O5" s="49" t="s">
        <v>25</v>
      </c>
      <c r="P5" s="50"/>
    </row>
    <row r="6" spans="1:16" x14ac:dyDescent="0.25">
      <c r="B6" s="7" t="s">
        <v>186</v>
      </c>
      <c r="C6" s="7" t="s">
        <v>181</v>
      </c>
      <c r="D6" s="7" t="s">
        <v>3</v>
      </c>
      <c r="E6" s="17"/>
      <c r="F6" s="18" t="s">
        <v>4</v>
      </c>
      <c r="G6" s="18" t="s">
        <v>5</v>
      </c>
      <c r="H6" s="17"/>
      <c r="I6" s="18" t="s">
        <v>4</v>
      </c>
      <c r="J6" s="18" t="s">
        <v>5</v>
      </c>
      <c r="K6" s="17"/>
      <c r="L6" s="18" t="s">
        <v>4</v>
      </c>
      <c r="M6" s="19" t="s">
        <v>5</v>
      </c>
      <c r="N6" s="17"/>
      <c r="O6" s="7" t="s">
        <v>4</v>
      </c>
      <c r="P6" s="7" t="s">
        <v>5</v>
      </c>
    </row>
    <row r="7" spans="1:16" x14ac:dyDescent="0.25">
      <c r="B7" s="1"/>
      <c r="C7" s="1"/>
      <c r="D7" s="1"/>
      <c r="F7" s="1"/>
      <c r="G7" s="1"/>
      <c r="I7" s="1"/>
      <c r="J7" s="1"/>
      <c r="L7" s="1"/>
      <c r="M7" s="1"/>
      <c r="O7" s="1"/>
      <c r="P7" s="1"/>
    </row>
    <row r="8" spans="1:16" x14ac:dyDescent="0.25">
      <c r="B8" s="7" t="s">
        <v>296</v>
      </c>
      <c r="C8" s="1"/>
      <c r="D8" s="1"/>
      <c r="F8" s="1"/>
      <c r="G8" s="1"/>
      <c r="I8" s="1"/>
      <c r="J8" s="1"/>
      <c r="L8" s="1"/>
      <c r="M8" s="1"/>
      <c r="O8" s="1"/>
      <c r="P8" s="1"/>
    </row>
    <row r="9" spans="1:16" x14ac:dyDescent="0.25">
      <c r="B9" s="1" t="s">
        <v>289</v>
      </c>
      <c r="C9" s="1"/>
      <c r="D9" s="1">
        <v>40</v>
      </c>
      <c r="F9" s="1">
        <v>1</v>
      </c>
      <c r="G9" s="23">
        <v>60</v>
      </c>
      <c r="I9" s="1">
        <v>2</v>
      </c>
      <c r="J9" s="1">
        <f>D9*I9</f>
        <v>80</v>
      </c>
      <c r="L9" s="1">
        <v>3</v>
      </c>
      <c r="M9" s="1">
        <f>D9*L9</f>
        <v>120</v>
      </c>
      <c r="O9" s="1">
        <v>5</v>
      </c>
      <c r="P9" s="1">
        <f>D9*O9</f>
        <v>200</v>
      </c>
    </row>
    <row r="10" spans="1:16" x14ac:dyDescent="0.25">
      <c r="B10" s="1" t="s">
        <v>290</v>
      </c>
      <c r="C10" s="1" t="s">
        <v>285</v>
      </c>
      <c r="D10" s="1">
        <v>130</v>
      </c>
      <c r="F10" s="1">
        <v>1</v>
      </c>
      <c r="G10" s="23">
        <f t="shared" ref="G10" si="0">D10*F10</f>
        <v>130</v>
      </c>
      <c r="I10" s="1">
        <v>2</v>
      </c>
      <c r="J10" s="1">
        <f t="shared" ref="J10" si="1">D10*I10</f>
        <v>260</v>
      </c>
      <c r="L10" s="1">
        <v>3</v>
      </c>
      <c r="M10" s="1">
        <f t="shared" ref="M10" si="2">D10*L10</f>
        <v>390</v>
      </c>
      <c r="O10" s="1">
        <v>5</v>
      </c>
      <c r="P10" s="1">
        <f>D10*O10</f>
        <v>650</v>
      </c>
    </row>
    <row r="11" spans="1:16" x14ac:dyDescent="0.25">
      <c r="B11" s="1"/>
      <c r="C11" s="1"/>
      <c r="D11" s="1"/>
      <c r="F11" s="1"/>
      <c r="G11" s="23"/>
      <c r="I11" s="1"/>
      <c r="J11" s="1"/>
      <c r="L11" s="1"/>
      <c r="M11" s="1"/>
      <c r="O11" s="1"/>
      <c r="P11" s="1"/>
    </row>
    <row r="12" spans="1:16" x14ac:dyDescent="0.25">
      <c r="B12" s="7" t="s">
        <v>174</v>
      </c>
      <c r="C12" s="1"/>
      <c r="D12" s="1"/>
      <c r="F12" s="1"/>
      <c r="G12" s="23"/>
      <c r="I12" s="1"/>
      <c r="J12" s="1"/>
      <c r="L12" s="1"/>
      <c r="M12" s="1"/>
      <c r="O12" s="1"/>
      <c r="P12" s="1"/>
    </row>
    <row r="13" spans="1:16" x14ac:dyDescent="0.25">
      <c r="B13" s="1" t="s">
        <v>291</v>
      </c>
      <c r="C13" s="1" t="s">
        <v>286</v>
      </c>
      <c r="D13" s="1">
        <v>130</v>
      </c>
      <c r="F13" s="1">
        <v>0</v>
      </c>
      <c r="G13" s="23">
        <f t="shared" ref="G13:G19" si="3">D13*F13</f>
        <v>0</v>
      </c>
      <c r="I13" s="1">
        <v>0</v>
      </c>
      <c r="J13" s="1">
        <f t="shared" ref="J13:J19" si="4">D13*I13</f>
        <v>0</v>
      </c>
      <c r="L13" s="1">
        <v>0</v>
      </c>
      <c r="M13" s="1">
        <f t="shared" ref="M13:M20" si="5">D13*L13</f>
        <v>0</v>
      </c>
      <c r="O13" s="1">
        <v>1</v>
      </c>
      <c r="P13" s="1">
        <f>D13*O13</f>
        <v>130</v>
      </c>
    </row>
    <row r="14" spans="1:16" x14ac:dyDescent="0.25">
      <c r="B14" s="1" t="s">
        <v>292</v>
      </c>
      <c r="C14" s="1" t="s">
        <v>287</v>
      </c>
      <c r="D14" s="1">
        <v>130</v>
      </c>
      <c r="F14" s="1">
        <v>0</v>
      </c>
      <c r="G14" s="23">
        <f t="shared" si="3"/>
        <v>0</v>
      </c>
      <c r="I14" s="1">
        <v>0</v>
      </c>
      <c r="J14" s="1">
        <f t="shared" si="4"/>
        <v>0</v>
      </c>
      <c r="L14" s="1">
        <v>0</v>
      </c>
      <c r="M14" s="1">
        <f t="shared" si="5"/>
        <v>0</v>
      </c>
      <c r="O14" s="1">
        <v>1</v>
      </c>
      <c r="P14" s="1">
        <f>D14*O14</f>
        <v>130</v>
      </c>
    </row>
    <row r="15" spans="1:16" x14ac:dyDescent="0.25">
      <c r="B15" s="1" t="s">
        <v>293</v>
      </c>
      <c r="C15" s="1" t="s">
        <v>288</v>
      </c>
      <c r="D15" s="1">
        <v>160</v>
      </c>
      <c r="F15" s="1">
        <v>0</v>
      </c>
      <c r="G15" s="23">
        <f t="shared" si="3"/>
        <v>0</v>
      </c>
      <c r="I15" s="1">
        <v>0</v>
      </c>
      <c r="J15" s="1">
        <f t="shared" si="4"/>
        <v>0</v>
      </c>
      <c r="L15" s="1">
        <v>0</v>
      </c>
      <c r="M15" s="1">
        <f t="shared" si="5"/>
        <v>0</v>
      </c>
      <c r="O15" s="1">
        <v>0</v>
      </c>
      <c r="P15" s="1">
        <f>D15*O15</f>
        <v>0</v>
      </c>
    </row>
    <row r="16" spans="1:16" x14ac:dyDescent="0.25">
      <c r="B16" s="1" t="s">
        <v>294</v>
      </c>
      <c r="C16" s="1"/>
      <c r="D16" s="1">
        <v>80</v>
      </c>
      <c r="F16" s="1">
        <v>0</v>
      </c>
      <c r="G16" s="23">
        <f t="shared" si="3"/>
        <v>0</v>
      </c>
      <c r="I16" s="1">
        <v>0</v>
      </c>
      <c r="J16" s="1">
        <f t="shared" si="4"/>
        <v>0</v>
      </c>
      <c r="L16" s="1">
        <v>1</v>
      </c>
      <c r="M16" s="1">
        <f t="shared" si="5"/>
        <v>80</v>
      </c>
      <c r="O16" s="1">
        <v>1</v>
      </c>
      <c r="P16" s="1">
        <f>D16*O16</f>
        <v>80</v>
      </c>
    </row>
    <row r="17" spans="2:16" x14ac:dyDescent="0.25">
      <c r="B17" s="1"/>
      <c r="C17" s="1"/>
      <c r="D17" s="1"/>
      <c r="F17" s="1"/>
      <c r="G17" s="23"/>
      <c r="I17" s="1"/>
      <c r="J17" s="1"/>
      <c r="L17" s="1"/>
      <c r="M17" s="1"/>
      <c r="O17" s="1"/>
      <c r="P17" s="1"/>
    </row>
    <row r="18" spans="2:16" x14ac:dyDescent="0.25">
      <c r="B18" s="7" t="s">
        <v>297</v>
      </c>
      <c r="C18" s="1"/>
      <c r="D18" s="1"/>
      <c r="F18" s="1"/>
      <c r="G18" s="23"/>
      <c r="I18" s="1"/>
      <c r="J18" s="1"/>
      <c r="L18" s="1"/>
      <c r="M18" s="1"/>
      <c r="O18" s="1"/>
      <c r="P18" s="1"/>
    </row>
    <row r="19" spans="2:16" x14ac:dyDescent="0.25">
      <c r="B19" s="1" t="s">
        <v>295</v>
      </c>
      <c r="C19" s="1"/>
      <c r="D19" s="1">
        <v>6</v>
      </c>
      <c r="F19" s="1">
        <v>1</v>
      </c>
      <c r="G19" s="23">
        <f t="shared" si="3"/>
        <v>6</v>
      </c>
      <c r="I19" s="1">
        <v>1</v>
      </c>
      <c r="J19" s="1">
        <f t="shared" si="4"/>
        <v>6</v>
      </c>
      <c r="L19" s="1"/>
      <c r="M19" s="1">
        <f t="shared" si="5"/>
        <v>0</v>
      </c>
      <c r="O19" s="1"/>
      <c r="P19" s="1">
        <f>D19*O19</f>
        <v>0</v>
      </c>
    </row>
    <row r="20" spans="2:16" x14ac:dyDescent="0.25">
      <c r="B20" s="1" t="s">
        <v>176</v>
      </c>
      <c r="C20" s="1"/>
      <c r="D20" s="1">
        <v>20</v>
      </c>
      <c r="F20" s="1"/>
      <c r="G20" s="1"/>
      <c r="I20" s="1"/>
      <c r="J20" s="1"/>
      <c r="L20" s="1">
        <v>1</v>
      </c>
      <c r="M20" s="1">
        <f t="shared" si="5"/>
        <v>20</v>
      </c>
      <c r="O20" s="1">
        <v>1</v>
      </c>
      <c r="P20" s="1">
        <f>D20*O20</f>
        <v>20</v>
      </c>
    </row>
    <row r="21" spans="2:16" s="17" customFormat="1" x14ac:dyDescent="0.25">
      <c r="B21" s="1"/>
      <c r="C21" s="1"/>
      <c r="D21" s="1"/>
      <c r="E21"/>
      <c r="F21" s="1"/>
      <c r="G21" s="1"/>
      <c r="H21"/>
      <c r="I21" s="1"/>
      <c r="J21" s="1"/>
      <c r="K21"/>
      <c r="L21" s="1"/>
      <c r="M21" s="1"/>
      <c r="N21"/>
      <c r="O21" s="1"/>
      <c r="P21" s="1"/>
    </row>
    <row r="22" spans="2:16" x14ac:dyDescent="0.25">
      <c r="B22" s="7"/>
      <c r="C22" s="7"/>
      <c r="D22" s="7"/>
      <c r="E22" s="17"/>
      <c r="F22" s="7"/>
      <c r="G22" s="7">
        <f>SUM(G9:G20)</f>
        <v>196</v>
      </c>
      <c r="H22" s="17"/>
      <c r="I22" s="7"/>
      <c r="J22" s="7">
        <f>SUM(J9:J20)</f>
        <v>346</v>
      </c>
      <c r="K22" s="17"/>
      <c r="L22" s="7"/>
      <c r="M22" s="7">
        <f>SUM(M9:M20)</f>
        <v>610</v>
      </c>
      <c r="N22" s="17"/>
      <c r="O22" s="7"/>
      <c r="P22" s="7">
        <f>SUM(P9:P20)</f>
        <v>1210</v>
      </c>
    </row>
    <row r="23" spans="2:16" x14ac:dyDescent="0.25">
      <c r="B23" s="1"/>
      <c r="C23" s="1"/>
      <c r="D23" s="1"/>
      <c r="F23" s="1"/>
      <c r="G23" s="1"/>
      <c r="I23" s="1"/>
      <c r="J23" s="1"/>
      <c r="L23" s="1"/>
      <c r="M23" s="1"/>
      <c r="O23" s="1"/>
      <c r="P23" s="1"/>
    </row>
    <row r="24" spans="2:16" x14ac:dyDescent="0.25">
      <c r="B24" s="1"/>
      <c r="C24" s="1"/>
      <c r="D24" s="1"/>
      <c r="F24" s="1"/>
      <c r="G24" s="1"/>
      <c r="I24" s="1"/>
      <c r="J24" s="1"/>
      <c r="L24" s="1"/>
      <c r="M24" s="1"/>
      <c r="O24" s="1"/>
      <c r="P24" s="1"/>
    </row>
    <row r="25" spans="2:16" x14ac:dyDescent="0.25">
      <c r="B25" s="1"/>
      <c r="C25" s="1"/>
      <c r="D25" s="1"/>
      <c r="F25" s="1"/>
      <c r="G25" s="1"/>
      <c r="I25" s="1"/>
      <c r="J25" s="1"/>
      <c r="L25" s="1"/>
      <c r="M25" s="1"/>
      <c r="O25" s="1"/>
      <c r="P25" s="1"/>
    </row>
    <row r="27" spans="2:16" x14ac:dyDescent="0.25">
      <c r="B27" s="17" t="s">
        <v>177</v>
      </c>
    </row>
    <row r="28" spans="2:16" x14ac:dyDescent="0.25">
      <c r="B28" s="17" t="s">
        <v>178</v>
      </c>
    </row>
  </sheetData>
  <mergeCells count="7">
    <mergeCell ref="O5:P5"/>
    <mergeCell ref="L5:M5"/>
    <mergeCell ref="I5:J5"/>
    <mergeCell ref="F5:G5"/>
    <mergeCell ref="G4:H4"/>
    <mergeCell ref="J4:K4"/>
    <mergeCell ref="M4:N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EB81-A929-4BC7-8530-0FC1EB3B681E}">
  <dimension ref="A1:O46"/>
  <sheetViews>
    <sheetView topLeftCell="A69" workbookViewId="0">
      <selection activeCell="C69" sqref="C69"/>
    </sheetView>
  </sheetViews>
  <sheetFormatPr defaultRowHeight="16.5" x14ac:dyDescent="0.25"/>
  <cols>
    <col min="3" max="3" width="30" customWidth="1"/>
  </cols>
  <sheetData>
    <row r="1" spans="1:15" ht="21.75" customHeight="1" thickBot="1" x14ac:dyDescent="0.3">
      <c r="B1" t="s">
        <v>20</v>
      </c>
      <c r="C1" s="54" t="s">
        <v>21</v>
      </c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</row>
    <row r="2" spans="1:15" ht="17.25" thickBot="1" x14ac:dyDescent="0.3"/>
    <row r="3" spans="1:15" ht="17.25" thickBot="1" x14ac:dyDescent="0.3">
      <c r="A3" s="11" t="s">
        <v>22</v>
      </c>
      <c r="B3" s="12" t="s">
        <v>23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4"/>
    </row>
    <row r="4" spans="1:15" ht="17.25" thickBot="1" x14ac:dyDescent="0.3">
      <c r="A4" s="15"/>
      <c r="O4" s="16"/>
    </row>
    <row r="5" spans="1:15" ht="17.25" thickBot="1" x14ac:dyDescent="0.3">
      <c r="A5" s="15" t="s">
        <v>24</v>
      </c>
      <c r="C5" s="17"/>
      <c r="D5" s="17"/>
      <c r="E5" s="17"/>
      <c r="F5" s="17"/>
      <c r="G5" s="17"/>
      <c r="H5" s="47" t="s">
        <v>0</v>
      </c>
      <c r="I5" s="48"/>
      <c r="J5" s="17"/>
      <c r="K5" s="47" t="s">
        <v>1</v>
      </c>
      <c r="L5" s="48"/>
      <c r="M5" s="17"/>
      <c r="N5" s="51" t="s">
        <v>25</v>
      </c>
      <c r="O5" s="52"/>
    </row>
    <row r="6" spans="1:15" x14ac:dyDescent="0.25">
      <c r="A6" s="15"/>
      <c r="C6" s="7" t="s">
        <v>26</v>
      </c>
      <c r="D6" s="7" t="s">
        <v>2</v>
      </c>
      <c r="E6" s="7" t="s">
        <v>3</v>
      </c>
      <c r="F6" s="17" t="s">
        <v>27</v>
      </c>
      <c r="G6" s="17"/>
      <c r="H6" s="18" t="s">
        <v>4</v>
      </c>
      <c r="I6" s="18" t="s">
        <v>5</v>
      </c>
      <c r="J6" s="17"/>
      <c r="K6" s="18" t="s">
        <v>4</v>
      </c>
      <c r="L6" s="18" t="s">
        <v>5</v>
      </c>
      <c r="M6" s="17"/>
      <c r="N6" s="18" t="s">
        <v>4</v>
      </c>
      <c r="O6" s="19" t="s">
        <v>5</v>
      </c>
    </row>
    <row r="7" spans="1:15" x14ac:dyDescent="0.25">
      <c r="A7" s="1" t="s">
        <v>28</v>
      </c>
      <c r="C7" s="1" t="s">
        <v>478</v>
      </c>
      <c r="D7" s="7"/>
      <c r="E7" s="1">
        <v>140</v>
      </c>
      <c r="F7" s="17"/>
      <c r="G7" s="17"/>
      <c r="H7" s="2">
        <v>1</v>
      </c>
      <c r="I7" s="18"/>
      <c r="J7" s="17"/>
      <c r="K7" s="18"/>
      <c r="L7" s="18"/>
      <c r="M7" s="17"/>
      <c r="N7" s="18"/>
      <c r="O7" s="19"/>
    </row>
    <row r="8" spans="1:15" x14ac:dyDescent="0.25">
      <c r="A8" s="15"/>
      <c r="C8" s="1" t="s">
        <v>29</v>
      </c>
      <c r="D8" s="7"/>
      <c r="E8" s="1">
        <v>130</v>
      </c>
      <c r="F8" s="20">
        <f>E8*1.3</f>
        <v>169</v>
      </c>
      <c r="H8" s="2">
        <v>0</v>
      </c>
      <c r="I8" s="2">
        <f t="shared" ref="I8:I9" si="0">H8*F8</f>
        <v>0</v>
      </c>
      <c r="K8" s="2">
        <v>0</v>
      </c>
      <c r="L8" s="2">
        <f t="shared" ref="L8:L9" si="1">K8*F8</f>
        <v>0</v>
      </c>
      <c r="N8" s="2">
        <v>1</v>
      </c>
      <c r="O8" s="21">
        <f>F8*N8</f>
        <v>169</v>
      </c>
    </row>
    <row r="9" spans="1:15" x14ac:dyDescent="0.25">
      <c r="A9" s="15"/>
      <c r="C9" s="1" t="s">
        <v>30</v>
      </c>
      <c r="D9" s="7"/>
      <c r="E9" s="1">
        <v>35</v>
      </c>
      <c r="F9" s="20">
        <f>E9*1.3</f>
        <v>45.5</v>
      </c>
      <c r="H9" s="2">
        <v>0</v>
      </c>
      <c r="I9" s="2">
        <f t="shared" si="0"/>
        <v>0</v>
      </c>
      <c r="K9" s="2">
        <v>1</v>
      </c>
      <c r="L9" s="22">
        <f t="shared" si="1"/>
        <v>45.5</v>
      </c>
      <c r="N9" s="2">
        <v>2</v>
      </c>
      <c r="O9" s="21">
        <f>F9*N9</f>
        <v>91</v>
      </c>
    </row>
    <row r="10" spans="1:15" x14ac:dyDescent="0.25">
      <c r="A10" s="15"/>
      <c r="C10" s="1" t="s">
        <v>31</v>
      </c>
      <c r="D10" s="7"/>
      <c r="E10" s="1">
        <v>20</v>
      </c>
      <c r="F10" s="20">
        <f>E10*1.3</f>
        <v>26</v>
      </c>
      <c r="H10" s="2">
        <v>0</v>
      </c>
      <c r="I10" s="2">
        <f>H10*F10</f>
        <v>0</v>
      </c>
      <c r="K10" s="2">
        <v>1</v>
      </c>
      <c r="L10" s="2">
        <f>K10*F10</f>
        <v>26</v>
      </c>
      <c r="N10" s="2">
        <v>0</v>
      </c>
      <c r="O10" s="21">
        <f>F10*N10</f>
        <v>0</v>
      </c>
    </row>
    <row r="11" spans="1:15" x14ac:dyDescent="0.25">
      <c r="A11" s="15"/>
      <c r="B11" s="7"/>
      <c r="C11" s="1" t="s">
        <v>32</v>
      </c>
      <c r="D11" s="1" t="s">
        <v>33</v>
      </c>
      <c r="E11" s="1">
        <v>20</v>
      </c>
      <c r="F11" s="20">
        <f>E11*1.3</f>
        <v>26</v>
      </c>
      <c r="H11" s="1">
        <v>1</v>
      </c>
      <c r="I11" s="23">
        <f>F11*H11</f>
        <v>26</v>
      </c>
      <c r="K11" s="1">
        <v>2</v>
      </c>
      <c r="L11" s="1">
        <f>E11*K11</f>
        <v>40</v>
      </c>
      <c r="N11" s="1">
        <v>3</v>
      </c>
      <c r="O11" s="24">
        <f>N11*F11</f>
        <v>78</v>
      </c>
    </row>
    <row r="12" spans="1:15" x14ac:dyDescent="0.25">
      <c r="A12" s="15"/>
      <c r="C12" s="1" t="s">
        <v>34</v>
      </c>
      <c r="D12" s="1" t="s">
        <v>33</v>
      </c>
      <c r="E12" s="1">
        <v>20</v>
      </c>
      <c r="F12" s="20">
        <f t="shared" ref="F12:F31" si="2">E12*1.3</f>
        <v>26</v>
      </c>
      <c r="H12" s="1">
        <v>1</v>
      </c>
      <c r="I12" s="23">
        <f t="shared" ref="I12:I31" si="3">F12*H12</f>
        <v>26</v>
      </c>
      <c r="K12" s="1">
        <v>2</v>
      </c>
      <c r="L12" s="1">
        <f t="shared" ref="L12:L45" si="4">E12*K12</f>
        <v>40</v>
      </c>
      <c r="N12" s="1">
        <v>3</v>
      </c>
      <c r="O12" s="24">
        <f t="shared" ref="O12:O45" si="5">N12*F12</f>
        <v>78</v>
      </c>
    </row>
    <row r="13" spans="1:15" x14ac:dyDescent="0.25">
      <c r="A13" s="15"/>
      <c r="C13" s="1" t="s">
        <v>35</v>
      </c>
      <c r="D13" s="1" t="s">
        <v>36</v>
      </c>
      <c r="E13" s="1">
        <v>10</v>
      </c>
      <c r="F13" s="20">
        <f t="shared" si="2"/>
        <v>13</v>
      </c>
      <c r="H13" s="1">
        <v>1</v>
      </c>
      <c r="I13" s="23">
        <f t="shared" si="3"/>
        <v>13</v>
      </c>
      <c r="K13" s="1">
        <v>1</v>
      </c>
      <c r="L13" s="1">
        <f t="shared" si="4"/>
        <v>10</v>
      </c>
      <c r="N13" s="1">
        <v>1</v>
      </c>
      <c r="O13" s="24">
        <f t="shared" si="5"/>
        <v>13</v>
      </c>
    </row>
    <row r="14" spans="1:15" x14ac:dyDescent="0.25">
      <c r="A14" s="15"/>
      <c r="C14" s="1" t="s">
        <v>37</v>
      </c>
      <c r="D14" s="1"/>
      <c r="E14" s="1">
        <v>5</v>
      </c>
      <c r="F14" s="20">
        <f t="shared" si="2"/>
        <v>6.5</v>
      </c>
      <c r="H14" s="1">
        <v>1</v>
      </c>
      <c r="I14" s="23">
        <f t="shared" si="3"/>
        <v>6.5</v>
      </c>
      <c r="K14" s="1">
        <v>1</v>
      </c>
      <c r="L14" s="1">
        <f t="shared" si="4"/>
        <v>5</v>
      </c>
      <c r="N14" s="1">
        <v>1</v>
      </c>
      <c r="O14" s="24">
        <f t="shared" si="5"/>
        <v>6.5</v>
      </c>
    </row>
    <row r="15" spans="1:15" x14ac:dyDescent="0.25">
      <c r="A15" s="15"/>
      <c r="C15" s="1" t="s">
        <v>38</v>
      </c>
      <c r="D15" s="1"/>
      <c r="E15" s="1">
        <v>2</v>
      </c>
      <c r="F15" s="20">
        <f t="shared" si="2"/>
        <v>2.6</v>
      </c>
      <c r="H15" s="1">
        <v>1</v>
      </c>
      <c r="I15" s="23">
        <f t="shared" si="3"/>
        <v>2.6</v>
      </c>
      <c r="K15" s="1">
        <v>1</v>
      </c>
      <c r="L15" s="1">
        <f t="shared" si="4"/>
        <v>2</v>
      </c>
      <c r="N15" s="1">
        <v>1</v>
      </c>
      <c r="O15" s="24">
        <f t="shared" si="5"/>
        <v>2.6</v>
      </c>
    </row>
    <row r="16" spans="1:15" x14ac:dyDescent="0.25">
      <c r="A16" s="15"/>
      <c r="C16" s="1" t="s">
        <v>39</v>
      </c>
      <c r="D16" s="1"/>
      <c r="E16" s="1">
        <v>2</v>
      </c>
      <c r="F16" s="20">
        <f t="shared" si="2"/>
        <v>2.6</v>
      </c>
      <c r="H16" s="1">
        <v>1</v>
      </c>
      <c r="I16" s="23">
        <f t="shared" si="3"/>
        <v>2.6</v>
      </c>
      <c r="K16" s="1">
        <v>1</v>
      </c>
      <c r="L16" s="1">
        <f t="shared" si="4"/>
        <v>2</v>
      </c>
      <c r="N16" s="1">
        <v>1</v>
      </c>
      <c r="O16" s="24">
        <f t="shared" si="5"/>
        <v>2.6</v>
      </c>
    </row>
    <row r="17" spans="1:15" x14ac:dyDescent="0.25">
      <c r="A17" s="15"/>
      <c r="C17" s="1" t="s">
        <v>40</v>
      </c>
      <c r="D17" s="1"/>
      <c r="E17" s="1">
        <v>5</v>
      </c>
      <c r="F17" s="20">
        <f t="shared" si="2"/>
        <v>6.5</v>
      </c>
      <c r="H17" s="1">
        <v>1</v>
      </c>
      <c r="I17" s="23">
        <f t="shared" si="3"/>
        <v>6.5</v>
      </c>
      <c r="K17" s="1">
        <v>2</v>
      </c>
      <c r="L17" s="1">
        <f t="shared" si="4"/>
        <v>10</v>
      </c>
      <c r="N17" s="1">
        <v>3</v>
      </c>
      <c r="O17" s="24">
        <f t="shared" si="5"/>
        <v>19.5</v>
      </c>
    </row>
    <row r="18" spans="1:15" x14ac:dyDescent="0.25">
      <c r="A18" s="15"/>
      <c r="C18" s="1" t="s">
        <v>41</v>
      </c>
      <c r="D18" s="1"/>
      <c r="E18" s="1">
        <v>6</v>
      </c>
      <c r="F18" s="20">
        <f t="shared" si="2"/>
        <v>7.8000000000000007</v>
      </c>
      <c r="H18" s="1">
        <v>1</v>
      </c>
      <c r="I18" s="23">
        <f t="shared" si="3"/>
        <v>7.8000000000000007</v>
      </c>
      <c r="K18" s="1">
        <v>1</v>
      </c>
      <c r="L18" s="1">
        <f t="shared" si="4"/>
        <v>6</v>
      </c>
      <c r="N18" s="1">
        <f t="shared" ref="N18:N23" si="6">K18*3</f>
        <v>3</v>
      </c>
      <c r="O18" s="24">
        <f t="shared" si="5"/>
        <v>23.400000000000002</v>
      </c>
    </row>
    <row r="19" spans="1:15" x14ac:dyDescent="0.25">
      <c r="A19" s="15"/>
      <c r="C19" s="1" t="s">
        <v>42</v>
      </c>
      <c r="D19" s="1"/>
      <c r="E19" s="1">
        <v>2</v>
      </c>
      <c r="F19" s="20">
        <f t="shared" si="2"/>
        <v>2.6</v>
      </c>
      <c r="H19" s="1">
        <v>1</v>
      </c>
      <c r="I19" s="23">
        <f t="shared" si="3"/>
        <v>2.6</v>
      </c>
      <c r="K19" s="1">
        <v>1</v>
      </c>
      <c r="L19" s="1">
        <f t="shared" si="4"/>
        <v>2</v>
      </c>
      <c r="N19" s="1">
        <f t="shared" si="6"/>
        <v>3</v>
      </c>
      <c r="O19" s="24">
        <f t="shared" si="5"/>
        <v>7.8000000000000007</v>
      </c>
    </row>
    <row r="20" spans="1:15" x14ac:dyDescent="0.25">
      <c r="A20" s="15"/>
      <c r="C20" s="1" t="s">
        <v>43</v>
      </c>
      <c r="D20" s="1"/>
      <c r="E20" s="1">
        <v>3</v>
      </c>
      <c r="F20" s="20">
        <f t="shared" si="2"/>
        <v>3.9000000000000004</v>
      </c>
      <c r="H20" s="1">
        <v>1</v>
      </c>
      <c r="I20" s="23">
        <f t="shared" si="3"/>
        <v>3.9000000000000004</v>
      </c>
      <c r="K20" s="1">
        <v>1</v>
      </c>
      <c r="L20" s="1">
        <f t="shared" si="4"/>
        <v>3</v>
      </c>
      <c r="N20" s="1">
        <v>1</v>
      </c>
      <c r="O20" s="24">
        <f t="shared" si="5"/>
        <v>3.9000000000000004</v>
      </c>
    </row>
    <row r="21" spans="1:15" x14ac:dyDescent="0.25">
      <c r="A21" s="15"/>
      <c r="C21" s="1" t="s">
        <v>44</v>
      </c>
      <c r="D21" s="1"/>
      <c r="E21" s="1">
        <v>10</v>
      </c>
      <c r="F21" s="20">
        <f t="shared" si="2"/>
        <v>13</v>
      </c>
      <c r="H21" s="1">
        <v>1</v>
      </c>
      <c r="I21" s="23">
        <f t="shared" si="3"/>
        <v>13</v>
      </c>
      <c r="K21" s="1">
        <v>1</v>
      </c>
      <c r="L21" s="1">
        <f t="shared" si="4"/>
        <v>10</v>
      </c>
      <c r="N21" s="1">
        <v>1</v>
      </c>
      <c r="O21" s="24">
        <f t="shared" si="5"/>
        <v>13</v>
      </c>
    </row>
    <row r="22" spans="1:15" x14ac:dyDescent="0.25">
      <c r="A22" s="15">
        <f>350*1.3</f>
        <v>455</v>
      </c>
      <c r="C22" s="1" t="s">
        <v>45</v>
      </c>
      <c r="D22" s="1"/>
      <c r="E22" s="1">
        <v>3</v>
      </c>
      <c r="F22" s="20">
        <f t="shared" si="2"/>
        <v>3.9000000000000004</v>
      </c>
      <c r="H22" s="1">
        <v>1</v>
      </c>
      <c r="I22" s="23">
        <f t="shared" si="3"/>
        <v>3.9000000000000004</v>
      </c>
      <c r="K22" s="1">
        <v>1</v>
      </c>
      <c r="L22" s="1">
        <f t="shared" si="4"/>
        <v>3</v>
      </c>
      <c r="N22" s="1">
        <v>1</v>
      </c>
      <c r="O22" s="24">
        <f t="shared" si="5"/>
        <v>3.9000000000000004</v>
      </c>
    </row>
    <row r="23" spans="1:15" x14ac:dyDescent="0.25">
      <c r="A23" s="15">
        <f>200*1.3</f>
        <v>260</v>
      </c>
      <c r="C23" s="1" t="s">
        <v>46</v>
      </c>
      <c r="D23" s="1"/>
      <c r="E23" s="1">
        <v>10</v>
      </c>
      <c r="F23" s="20">
        <f t="shared" si="2"/>
        <v>13</v>
      </c>
      <c r="H23" s="1">
        <v>1</v>
      </c>
      <c r="I23" s="23">
        <f t="shared" si="3"/>
        <v>13</v>
      </c>
      <c r="K23" s="1">
        <v>1</v>
      </c>
      <c r="L23" s="1">
        <f t="shared" si="4"/>
        <v>10</v>
      </c>
      <c r="N23" s="1">
        <f t="shared" si="6"/>
        <v>3</v>
      </c>
      <c r="O23" s="24">
        <f t="shared" si="5"/>
        <v>39</v>
      </c>
    </row>
    <row r="24" spans="1:15" x14ac:dyDescent="0.25">
      <c r="A24" s="15"/>
      <c r="C24" s="1" t="s">
        <v>47</v>
      </c>
      <c r="D24" s="1"/>
      <c r="E24" s="1">
        <v>3</v>
      </c>
      <c r="F24" s="20">
        <f t="shared" si="2"/>
        <v>3.9000000000000004</v>
      </c>
      <c r="H24" s="1">
        <v>1</v>
      </c>
      <c r="I24" s="23">
        <f t="shared" si="3"/>
        <v>3.9000000000000004</v>
      </c>
      <c r="K24" s="1">
        <v>3</v>
      </c>
      <c r="L24" s="1">
        <f t="shared" si="4"/>
        <v>9</v>
      </c>
      <c r="N24" s="1">
        <v>6</v>
      </c>
      <c r="O24" s="24">
        <f t="shared" si="5"/>
        <v>23.400000000000002</v>
      </c>
    </row>
    <row r="25" spans="1:15" x14ac:dyDescent="0.25">
      <c r="A25" s="15"/>
      <c r="C25" s="1" t="s">
        <v>48</v>
      </c>
      <c r="D25" s="1"/>
      <c r="E25" s="1">
        <v>3</v>
      </c>
      <c r="F25" s="20">
        <f t="shared" si="2"/>
        <v>3.9000000000000004</v>
      </c>
      <c r="H25" s="1">
        <v>1</v>
      </c>
      <c r="I25" s="23">
        <f t="shared" si="3"/>
        <v>3.9000000000000004</v>
      </c>
      <c r="K25" s="1">
        <v>2</v>
      </c>
      <c r="L25" s="1">
        <f t="shared" si="4"/>
        <v>6</v>
      </c>
      <c r="N25" s="1">
        <v>3</v>
      </c>
      <c r="O25" s="24">
        <f t="shared" si="5"/>
        <v>11.700000000000001</v>
      </c>
    </row>
    <row r="26" spans="1:15" x14ac:dyDescent="0.25">
      <c r="A26" s="15"/>
      <c r="C26" s="1" t="s">
        <v>49</v>
      </c>
      <c r="D26" s="1"/>
      <c r="E26" s="1">
        <v>75</v>
      </c>
      <c r="F26" s="20">
        <f t="shared" si="2"/>
        <v>97.5</v>
      </c>
      <c r="H26" s="1">
        <v>0</v>
      </c>
      <c r="I26" s="23">
        <f t="shared" si="3"/>
        <v>0</v>
      </c>
      <c r="K26" s="1">
        <v>1</v>
      </c>
      <c r="L26" s="1">
        <f t="shared" si="4"/>
        <v>75</v>
      </c>
      <c r="N26" s="1">
        <v>1</v>
      </c>
      <c r="O26" s="24">
        <f t="shared" si="5"/>
        <v>97.5</v>
      </c>
    </row>
    <row r="27" spans="1:15" x14ac:dyDescent="0.25">
      <c r="A27" s="15"/>
      <c r="C27" s="1" t="s">
        <v>50</v>
      </c>
      <c r="D27" s="1"/>
      <c r="E27" s="1">
        <v>1</v>
      </c>
      <c r="F27" s="20">
        <f t="shared" si="2"/>
        <v>1.3</v>
      </c>
      <c r="H27" s="1">
        <v>1</v>
      </c>
      <c r="I27" s="23">
        <f t="shared" si="3"/>
        <v>1.3</v>
      </c>
      <c r="K27" s="1">
        <v>2</v>
      </c>
      <c r="L27" s="1">
        <f t="shared" si="4"/>
        <v>2</v>
      </c>
      <c r="N27" s="1">
        <v>2</v>
      </c>
      <c r="O27" s="24">
        <f t="shared" si="5"/>
        <v>2.6</v>
      </c>
    </row>
    <row r="28" spans="1:15" x14ac:dyDescent="0.25">
      <c r="A28" s="15"/>
      <c r="C28" s="1" t="s">
        <v>51</v>
      </c>
      <c r="D28" s="1"/>
      <c r="E28" s="1">
        <v>3</v>
      </c>
      <c r="F28" s="20">
        <f t="shared" si="2"/>
        <v>3.9000000000000004</v>
      </c>
      <c r="H28" s="1">
        <v>1</v>
      </c>
      <c r="I28" s="23">
        <f t="shared" si="3"/>
        <v>3.9000000000000004</v>
      </c>
      <c r="J28" s="4"/>
      <c r="K28" s="1">
        <v>1</v>
      </c>
      <c r="L28" s="1">
        <f t="shared" si="4"/>
        <v>3</v>
      </c>
      <c r="N28" s="1">
        <v>1</v>
      </c>
      <c r="O28" s="24">
        <f t="shared" si="5"/>
        <v>3.9000000000000004</v>
      </c>
    </row>
    <row r="29" spans="1:15" x14ac:dyDescent="0.25">
      <c r="A29" s="15"/>
      <c r="C29" s="1" t="s">
        <v>52</v>
      </c>
      <c r="D29" s="1"/>
      <c r="E29" s="1">
        <v>5</v>
      </c>
      <c r="F29" s="20">
        <f t="shared" si="2"/>
        <v>6.5</v>
      </c>
      <c r="H29" s="1">
        <v>1</v>
      </c>
      <c r="I29" s="23">
        <f t="shared" si="3"/>
        <v>6.5</v>
      </c>
      <c r="J29" s="4"/>
      <c r="K29" s="1">
        <v>1</v>
      </c>
      <c r="L29" s="1">
        <f t="shared" si="4"/>
        <v>5</v>
      </c>
      <c r="N29" s="1">
        <v>3</v>
      </c>
      <c r="O29" s="24">
        <f t="shared" si="5"/>
        <v>19.5</v>
      </c>
    </row>
    <row r="30" spans="1:15" x14ac:dyDescent="0.25">
      <c r="A30" s="15"/>
      <c r="B30" s="25"/>
      <c r="C30" s="1" t="s">
        <v>53</v>
      </c>
      <c r="D30" s="1"/>
      <c r="E30" s="1">
        <v>15</v>
      </c>
      <c r="F30" s="20">
        <f t="shared" si="2"/>
        <v>19.5</v>
      </c>
      <c r="G30" s="4"/>
      <c r="H30" s="1">
        <v>0</v>
      </c>
      <c r="I30" s="23">
        <f t="shared" si="3"/>
        <v>0</v>
      </c>
      <c r="J30" s="4"/>
      <c r="K30" s="1">
        <v>1</v>
      </c>
      <c r="L30" s="1">
        <f t="shared" si="4"/>
        <v>15</v>
      </c>
      <c r="N30" s="1">
        <v>1</v>
      </c>
      <c r="O30" s="24">
        <f t="shared" si="5"/>
        <v>19.5</v>
      </c>
    </row>
    <row r="31" spans="1:15" x14ac:dyDescent="0.25">
      <c r="A31" s="15"/>
      <c r="C31" s="1" t="s">
        <v>54</v>
      </c>
      <c r="D31" s="1"/>
      <c r="E31" s="1">
        <v>5</v>
      </c>
      <c r="F31" s="20">
        <f t="shared" si="2"/>
        <v>6.5</v>
      </c>
      <c r="H31" s="1">
        <v>1</v>
      </c>
      <c r="I31" s="23">
        <f t="shared" si="3"/>
        <v>6.5</v>
      </c>
      <c r="K31" s="1">
        <v>1</v>
      </c>
      <c r="L31" s="23">
        <f>F31*K31</f>
        <v>6.5</v>
      </c>
      <c r="N31" s="1">
        <v>3</v>
      </c>
      <c r="O31" s="24">
        <f t="shared" si="5"/>
        <v>19.5</v>
      </c>
    </row>
    <row r="32" spans="1:15" x14ac:dyDescent="0.25">
      <c r="A32" s="15"/>
      <c r="C32" s="1"/>
      <c r="D32" s="1"/>
      <c r="E32" s="1"/>
      <c r="H32" s="1"/>
      <c r="I32" s="1"/>
      <c r="K32" s="1"/>
      <c r="L32" s="1"/>
      <c r="N32" s="1"/>
      <c r="O32" s="24"/>
    </row>
    <row r="33" spans="1:15" s="8" customFormat="1" x14ac:dyDescent="0.25">
      <c r="A33" s="26"/>
      <c r="C33" s="1"/>
      <c r="D33" s="1"/>
      <c r="E33" s="1"/>
      <c r="F33"/>
      <c r="G33"/>
      <c r="H33" s="9"/>
      <c r="I33" s="1"/>
      <c r="K33" s="1"/>
      <c r="L33" s="1"/>
      <c r="N33" s="1"/>
      <c r="O33" s="24"/>
    </row>
    <row r="34" spans="1:15" x14ac:dyDescent="0.25">
      <c r="A34" s="15"/>
      <c r="C34" s="9" t="s">
        <v>55</v>
      </c>
      <c r="D34" s="9"/>
      <c r="E34" s="9"/>
      <c r="F34" s="8"/>
      <c r="G34" s="8"/>
      <c r="H34" s="1"/>
      <c r="I34" s="1"/>
      <c r="K34" s="1"/>
      <c r="L34" s="1"/>
      <c r="N34" s="1"/>
      <c r="O34" s="24"/>
    </row>
    <row r="35" spans="1:15" x14ac:dyDescent="0.25">
      <c r="A35" s="15"/>
      <c r="C35" s="1" t="s">
        <v>56</v>
      </c>
      <c r="D35" s="1"/>
      <c r="E35" s="1">
        <v>5</v>
      </c>
      <c r="F35">
        <f>E35</f>
        <v>5</v>
      </c>
      <c r="H35" s="1">
        <v>1</v>
      </c>
      <c r="I35" s="23">
        <f t="shared" ref="I35:I45" si="7">E35*H35</f>
        <v>5</v>
      </c>
      <c r="K35" s="1">
        <f>H35*3</f>
        <v>3</v>
      </c>
      <c r="L35" s="23">
        <f t="shared" si="4"/>
        <v>15</v>
      </c>
      <c r="N35" s="1">
        <v>6</v>
      </c>
      <c r="O35" s="24">
        <f t="shared" si="5"/>
        <v>30</v>
      </c>
    </row>
    <row r="36" spans="1:15" x14ac:dyDescent="0.25">
      <c r="A36" s="15"/>
      <c r="C36" s="1" t="s">
        <v>57</v>
      </c>
      <c r="D36" s="1"/>
      <c r="E36" s="1">
        <v>0.3</v>
      </c>
      <c r="F36">
        <f t="shared" ref="F36:F45" si="8">E36</f>
        <v>0.3</v>
      </c>
      <c r="H36" s="1">
        <v>10</v>
      </c>
      <c r="I36" s="23">
        <f t="shared" si="7"/>
        <v>3</v>
      </c>
      <c r="K36" s="1">
        <v>30</v>
      </c>
      <c r="L36" s="23">
        <f t="shared" si="4"/>
        <v>9</v>
      </c>
      <c r="N36" s="1">
        <v>100</v>
      </c>
      <c r="O36" s="24">
        <f t="shared" si="5"/>
        <v>30</v>
      </c>
    </row>
    <row r="37" spans="1:15" x14ac:dyDescent="0.25">
      <c r="A37" s="15"/>
      <c r="C37" s="1" t="s">
        <v>58</v>
      </c>
      <c r="D37" s="1"/>
      <c r="E37" s="1">
        <v>5</v>
      </c>
      <c r="F37">
        <f t="shared" si="8"/>
        <v>5</v>
      </c>
      <c r="H37" s="1">
        <v>1</v>
      </c>
      <c r="I37" s="23">
        <f t="shared" si="7"/>
        <v>5</v>
      </c>
      <c r="K37" s="1">
        <f t="shared" ref="K37:K41" si="9">H37*3</f>
        <v>3</v>
      </c>
      <c r="L37" s="23">
        <f t="shared" si="4"/>
        <v>15</v>
      </c>
      <c r="N37" s="1">
        <v>6</v>
      </c>
      <c r="O37" s="24">
        <f t="shared" si="5"/>
        <v>30</v>
      </c>
    </row>
    <row r="38" spans="1:15" x14ac:dyDescent="0.25">
      <c r="A38" s="15"/>
      <c r="C38" s="1" t="s">
        <v>59</v>
      </c>
      <c r="D38" s="1"/>
      <c r="E38" s="1">
        <v>5</v>
      </c>
      <c r="F38">
        <f t="shared" si="8"/>
        <v>5</v>
      </c>
      <c r="H38" s="1">
        <v>1</v>
      </c>
      <c r="I38" s="23">
        <f t="shared" si="7"/>
        <v>5</v>
      </c>
      <c r="K38" s="1">
        <f t="shared" si="9"/>
        <v>3</v>
      </c>
      <c r="L38" s="23">
        <f t="shared" si="4"/>
        <v>15</v>
      </c>
      <c r="N38" s="1">
        <v>6</v>
      </c>
      <c r="O38" s="24">
        <f t="shared" si="5"/>
        <v>30</v>
      </c>
    </row>
    <row r="39" spans="1:15" x14ac:dyDescent="0.25">
      <c r="A39" s="15"/>
      <c r="C39" s="1" t="s">
        <v>60</v>
      </c>
      <c r="D39" s="1"/>
      <c r="E39" s="1">
        <v>3</v>
      </c>
      <c r="F39">
        <f t="shared" si="8"/>
        <v>3</v>
      </c>
      <c r="H39" s="1">
        <v>1</v>
      </c>
      <c r="I39" s="23">
        <f t="shared" si="7"/>
        <v>3</v>
      </c>
      <c r="K39" s="1">
        <f t="shared" si="9"/>
        <v>3</v>
      </c>
      <c r="L39" s="23">
        <f t="shared" si="4"/>
        <v>9</v>
      </c>
      <c r="N39" s="1">
        <v>6</v>
      </c>
      <c r="O39" s="24">
        <f t="shared" si="5"/>
        <v>18</v>
      </c>
    </row>
    <row r="40" spans="1:15" x14ac:dyDescent="0.25">
      <c r="A40" s="15"/>
      <c r="C40" s="1" t="s">
        <v>61</v>
      </c>
      <c r="D40" s="1"/>
      <c r="E40" s="1">
        <v>5</v>
      </c>
      <c r="F40">
        <f t="shared" si="8"/>
        <v>5</v>
      </c>
      <c r="H40" s="1">
        <v>1</v>
      </c>
      <c r="I40" s="23">
        <f t="shared" si="7"/>
        <v>5</v>
      </c>
      <c r="K40" s="1">
        <f t="shared" si="9"/>
        <v>3</v>
      </c>
      <c r="L40" s="23">
        <f t="shared" si="4"/>
        <v>15</v>
      </c>
      <c r="N40" s="1">
        <v>6</v>
      </c>
      <c r="O40" s="24">
        <f t="shared" si="5"/>
        <v>30</v>
      </c>
    </row>
    <row r="41" spans="1:15" x14ac:dyDescent="0.25">
      <c r="A41" s="15"/>
      <c r="C41" s="1" t="s">
        <v>62</v>
      </c>
      <c r="D41" s="1"/>
      <c r="E41" s="1">
        <v>0.1</v>
      </c>
      <c r="F41">
        <f t="shared" si="8"/>
        <v>0.1</v>
      </c>
      <c r="H41" s="1">
        <v>25</v>
      </c>
      <c r="I41" s="23">
        <f t="shared" si="7"/>
        <v>2.5</v>
      </c>
      <c r="K41" s="1">
        <f t="shared" si="9"/>
        <v>75</v>
      </c>
      <c r="L41" s="23">
        <f t="shared" si="4"/>
        <v>7.5</v>
      </c>
      <c r="N41" s="1">
        <v>150</v>
      </c>
      <c r="O41" s="24">
        <f t="shared" si="5"/>
        <v>15</v>
      </c>
    </row>
    <row r="42" spans="1:15" x14ac:dyDescent="0.25">
      <c r="A42" s="15"/>
      <c r="C42" s="1" t="s">
        <v>63</v>
      </c>
      <c r="D42" s="1"/>
      <c r="E42" s="1">
        <v>3.5</v>
      </c>
      <c r="F42">
        <f t="shared" si="8"/>
        <v>3.5</v>
      </c>
      <c r="H42" s="1">
        <v>1</v>
      </c>
      <c r="I42" s="23">
        <f t="shared" si="7"/>
        <v>3.5</v>
      </c>
      <c r="K42" s="1">
        <v>1</v>
      </c>
      <c r="L42" s="23">
        <f t="shared" si="4"/>
        <v>3.5</v>
      </c>
      <c r="N42" s="1">
        <v>3</v>
      </c>
      <c r="O42" s="24">
        <f t="shared" si="5"/>
        <v>10.5</v>
      </c>
    </row>
    <row r="43" spans="1:15" x14ac:dyDescent="0.25">
      <c r="A43" s="15"/>
      <c r="C43" s="1" t="s">
        <v>64</v>
      </c>
      <c r="D43" s="1"/>
      <c r="E43" s="1">
        <v>2.5</v>
      </c>
      <c r="F43">
        <f t="shared" si="8"/>
        <v>2.5</v>
      </c>
      <c r="H43" s="1">
        <v>1</v>
      </c>
      <c r="I43" s="23">
        <f t="shared" si="7"/>
        <v>2.5</v>
      </c>
      <c r="K43" s="1">
        <v>1</v>
      </c>
      <c r="L43" s="23">
        <f t="shared" si="4"/>
        <v>2.5</v>
      </c>
      <c r="N43" s="1">
        <v>3</v>
      </c>
      <c r="O43" s="24">
        <f t="shared" si="5"/>
        <v>7.5</v>
      </c>
    </row>
    <row r="44" spans="1:15" x14ac:dyDescent="0.25">
      <c r="A44" s="15"/>
      <c r="C44" s="1" t="s">
        <v>65</v>
      </c>
      <c r="D44" s="1"/>
      <c r="E44" s="1">
        <v>7</v>
      </c>
      <c r="F44">
        <f t="shared" si="8"/>
        <v>7</v>
      </c>
      <c r="H44" s="1">
        <v>1</v>
      </c>
      <c r="I44" s="23">
        <f t="shared" si="7"/>
        <v>7</v>
      </c>
      <c r="K44" s="1">
        <v>2</v>
      </c>
      <c r="L44" s="23">
        <f t="shared" si="4"/>
        <v>14</v>
      </c>
      <c r="N44" s="1">
        <v>6</v>
      </c>
      <c r="O44" s="24">
        <f t="shared" si="5"/>
        <v>42</v>
      </c>
    </row>
    <row r="45" spans="1:15" x14ac:dyDescent="0.25">
      <c r="A45" s="15"/>
      <c r="C45" s="1" t="s">
        <v>66</v>
      </c>
      <c r="D45" s="1"/>
      <c r="E45" s="1">
        <v>2.5</v>
      </c>
      <c r="F45">
        <f t="shared" si="8"/>
        <v>2.5</v>
      </c>
      <c r="H45" s="1">
        <v>1</v>
      </c>
      <c r="I45" s="23">
        <f t="shared" si="7"/>
        <v>2.5</v>
      </c>
      <c r="K45" s="1">
        <v>2</v>
      </c>
      <c r="L45" s="23">
        <f t="shared" si="4"/>
        <v>5</v>
      </c>
      <c r="N45" s="1">
        <v>3</v>
      </c>
      <c r="O45" s="24">
        <f t="shared" si="5"/>
        <v>7.5</v>
      </c>
    </row>
    <row r="46" spans="1:15" x14ac:dyDescent="0.25">
      <c r="A46" s="15"/>
      <c r="C46" s="1"/>
      <c r="D46" s="27"/>
      <c r="E46" s="28"/>
      <c r="H46" s="1"/>
      <c r="I46" s="1"/>
      <c r="J46" s="4"/>
      <c r="K46" s="1"/>
      <c r="L46" s="23"/>
      <c r="N46" s="28"/>
      <c r="O46" s="29"/>
    </row>
  </sheetData>
  <mergeCells count="4">
    <mergeCell ref="C1:O1"/>
    <mergeCell ref="H5:I5"/>
    <mergeCell ref="K5:L5"/>
    <mergeCell ref="N5:O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7CE5-3DEC-4106-981F-4235628A36B8}">
  <dimension ref="A1:N52"/>
  <sheetViews>
    <sheetView zoomScaleNormal="100" workbookViewId="0">
      <selection activeCell="E7" sqref="E7"/>
    </sheetView>
  </sheetViews>
  <sheetFormatPr defaultRowHeight="16.5" x14ac:dyDescent="0.25"/>
  <cols>
    <col min="1" max="1" width="21" customWidth="1"/>
    <col min="2" max="2" width="27" customWidth="1"/>
  </cols>
  <sheetData>
    <row r="1" spans="1:14" ht="21.75" customHeight="1" thickBot="1" x14ac:dyDescent="0.3">
      <c r="A1" t="s">
        <v>20</v>
      </c>
      <c r="B1" s="54" t="s">
        <v>21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6"/>
    </row>
    <row r="2" spans="1:14" ht="17.25" thickBot="1" x14ac:dyDescent="0.3"/>
    <row r="3" spans="1:14" ht="17.25" thickBot="1" x14ac:dyDescent="0.3">
      <c r="A3" s="12" t="s">
        <v>23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33"/>
      <c r="N3" s="14"/>
    </row>
    <row r="4" spans="1:14" x14ac:dyDescent="0.25">
      <c r="B4" s="1"/>
      <c r="C4" s="1"/>
      <c r="D4" s="1"/>
      <c r="G4" s="1"/>
      <c r="H4" s="23"/>
      <c r="J4" s="1"/>
      <c r="K4" s="23"/>
      <c r="M4" s="2"/>
      <c r="N4" s="2"/>
    </row>
    <row r="5" spans="1:14" x14ac:dyDescent="0.25">
      <c r="B5" s="1"/>
      <c r="C5" s="1"/>
      <c r="D5" s="1"/>
      <c r="G5" s="1"/>
      <c r="H5" s="23"/>
      <c r="J5" s="1"/>
      <c r="K5" s="23"/>
      <c r="M5" s="1"/>
      <c r="N5" s="1"/>
    </row>
    <row r="6" spans="1:14" x14ac:dyDescent="0.25">
      <c r="A6" s="17" t="s">
        <v>68</v>
      </c>
      <c r="B6" s="1" t="s">
        <v>69</v>
      </c>
      <c r="C6" s="1"/>
      <c r="D6" s="1">
        <v>35</v>
      </c>
      <c r="E6" s="20">
        <f>D6*1.3</f>
        <v>45.5</v>
      </c>
      <c r="G6" s="1">
        <v>0</v>
      </c>
      <c r="H6" s="23">
        <v>0</v>
      </c>
      <c r="J6" s="1">
        <v>1</v>
      </c>
      <c r="K6" s="23">
        <f>E6*J6</f>
        <v>45.5</v>
      </c>
      <c r="M6" s="1">
        <v>1</v>
      </c>
      <c r="N6" s="1">
        <f>M6*E6</f>
        <v>45.5</v>
      </c>
    </row>
    <row r="7" spans="1:14" x14ac:dyDescent="0.25">
      <c r="A7" s="17" t="s">
        <v>70</v>
      </c>
      <c r="B7" s="1" t="s">
        <v>71</v>
      </c>
      <c r="C7" s="1"/>
      <c r="D7" s="1">
        <v>130</v>
      </c>
      <c r="E7" s="20">
        <f t="shared" ref="E7" si="0">D7*1.3</f>
        <v>169</v>
      </c>
      <c r="G7" s="1">
        <v>0</v>
      </c>
      <c r="H7" s="23">
        <v>0</v>
      </c>
      <c r="J7" s="1">
        <v>0</v>
      </c>
      <c r="K7" s="23">
        <v>0</v>
      </c>
      <c r="M7" s="1">
        <v>1</v>
      </c>
      <c r="N7" s="1">
        <f t="shared" ref="N7:N8" si="1">M7*E7</f>
        <v>169</v>
      </c>
    </row>
    <row r="8" spans="1:14" x14ac:dyDescent="0.25">
      <c r="B8" s="1" t="s">
        <v>72</v>
      </c>
      <c r="C8" s="1"/>
      <c r="D8" s="1">
        <v>160</v>
      </c>
      <c r="E8" s="20">
        <v>208</v>
      </c>
      <c r="G8" s="1">
        <v>0</v>
      </c>
      <c r="H8" s="23">
        <v>0</v>
      </c>
      <c r="J8" s="1">
        <v>0</v>
      </c>
      <c r="K8" s="23">
        <v>0</v>
      </c>
      <c r="M8" s="1">
        <v>1</v>
      </c>
      <c r="N8" s="1">
        <f t="shared" si="1"/>
        <v>208</v>
      </c>
    </row>
    <row r="9" spans="1:14" x14ac:dyDescent="0.25">
      <c r="B9" s="1" t="s">
        <v>73</v>
      </c>
      <c r="C9" s="1"/>
      <c r="D9" s="1">
        <v>160</v>
      </c>
      <c r="E9" s="20">
        <f t="shared" ref="E9:E10" si="2">D9*1.3</f>
        <v>208</v>
      </c>
      <c r="G9" s="1">
        <v>0</v>
      </c>
      <c r="H9" s="23">
        <v>0</v>
      </c>
      <c r="J9" s="1">
        <v>0</v>
      </c>
      <c r="K9" s="23">
        <v>0</v>
      </c>
      <c r="M9" s="1">
        <v>1</v>
      </c>
      <c r="N9" s="1">
        <v>208</v>
      </c>
    </row>
    <row r="10" spans="1:14" x14ac:dyDescent="0.25">
      <c r="B10" t="s">
        <v>74</v>
      </c>
      <c r="D10">
        <v>15</v>
      </c>
      <c r="E10" s="20">
        <f t="shared" si="2"/>
        <v>19.5</v>
      </c>
      <c r="G10" s="1">
        <v>1</v>
      </c>
      <c r="H10" s="23">
        <f>E10*G10</f>
        <v>19.5</v>
      </c>
      <c r="J10" s="1">
        <v>0</v>
      </c>
      <c r="K10" s="23">
        <v>0</v>
      </c>
      <c r="M10" s="1">
        <v>0</v>
      </c>
      <c r="N10" s="1">
        <v>0</v>
      </c>
    </row>
    <row r="11" spans="1:14" x14ac:dyDescent="0.25">
      <c r="B11" s="1" t="s">
        <v>75</v>
      </c>
      <c r="C11" s="27"/>
      <c r="D11" s="28">
        <v>60</v>
      </c>
      <c r="E11" s="20">
        <f>D11*1.5</f>
        <v>90</v>
      </c>
      <c r="G11" s="1">
        <v>0</v>
      </c>
      <c r="H11" s="1">
        <v>0</v>
      </c>
      <c r="J11" s="1">
        <v>1</v>
      </c>
      <c r="K11" s="1">
        <f>E11*J11</f>
        <v>90</v>
      </c>
      <c r="M11" s="1">
        <v>0</v>
      </c>
      <c r="N11" s="1">
        <v>1</v>
      </c>
    </row>
    <row r="12" spans="1:14" x14ac:dyDescent="0.25">
      <c r="B12" s="1" t="s">
        <v>76</v>
      </c>
      <c r="C12" s="27"/>
      <c r="D12" s="28">
        <v>0.5</v>
      </c>
      <c r="E12">
        <f>D12</f>
        <v>0.5</v>
      </c>
      <c r="G12" s="1">
        <v>2</v>
      </c>
      <c r="H12" s="1">
        <f>D12*G12</f>
        <v>1</v>
      </c>
      <c r="J12" s="1">
        <f t="shared" ref="J12:J46" si="3">G12*2</f>
        <v>4</v>
      </c>
      <c r="K12" s="1">
        <f t="shared" ref="K12:K35" si="4">D12*J12</f>
        <v>2</v>
      </c>
      <c r="M12" s="1">
        <f>G12*3</f>
        <v>6</v>
      </c>
      <c r="N12" s="1">
        <f>M12*D12</f>
        <v>3</v>
      </c>
    </row>
    <row r="13" spans="1:14" x14ac:dyDescent="0.25">
      <c r="B13" s="1" t="s">
        <v>77</v>
      </c>
      <c r="C13" s="27"/>
      <c r="D13" s="28">
        <v>1</v>
      </c>
      <c r="E13">
        <f t="shared" ref="E13:E46" si="5">D13</f>
        <v>1</v>
      </c>
      <c r="G13" s="1">
        <v>2</v>
      </c>
      <c r="H13" s="1">
        <f t="shared" ref="H13:H46" si="6">D13*G13</f>
        <v>2</v>
      </c>
      <c r="J13" s="1">
        <f t="shared" si="3"/>
        <v>4</v>
      </c>
      <c r="K13" s="1">
        <f t="shared" si="4"/>
        <v>4</v>
      </c>
      <c r="M13" s="1">
        <f t="shared" ref="M13:M46" si="7">G13*3</f>
        <v>6</v>
      </c>
      <c r="N13" s="1">
        <f t="shared" ref="N13:N46" si="8">M13*D13</f>
        <v>6</v>
      </c>
    </row>
    <row r="14" spans="1:14" x14ac:dyDescent="0.25">
      <c r="B14" s="1" t="s">
        <v>78</v>
      </c>
      <c r="C14" s="27"/>
      <c r="D14" s="28">
        <v>0.5</v>
      </c>
      <c r="E14">
        <f t="shared" si="5"/>
        <v>0.5</v>
      </c>
      <c r="G14" s="1">
        <v>2</v>
      </c>
      <c r="H14" s="1">
        <f t="shared" si="6"/>
        <v>1</v>
      </c>
      <c r="J14" s="1">
        <f t="shared" si="3"/>
        <v>4</v>
      </c>
      <c r="K14" s="1">
        <f t="shared" si="4"/>
        <v>2</v>
      </c>
      <c r="M14" s="1">
        <f t="shared" si="7"/>
        <v>6</v>
      </c>
      <c r="N14" s="1">
        <f t="shared" si="8"/>
        <v>3</v>
      </c>
    </row>
    <row r="15" spans="1:14" x14ac:dyDescent="0.25">
      <c r="B15" s="1" t="s">
        <v>79</v>
      </c>
      <c r="C15" s="27"/>
      <c r="D15" s="28">
        <v>1</v>
      </c>
      <c r="E15">
        <f t="shared" si="5"/>
        <v>1</v>
      </c>
      <c r="G15" s="1">
        <v>2</v>
      </c>
      <c r="H15" s="1">
        <f t="shared" si="6"/>
        <v>2</v>
      </c>
      <c r="J15" s="1">
        <f t="shared" si="3"/>
        <v>4</v>
      </c>
      <c r="K15" s="1">
        <f t="shared" si="4"/>
        <v>4</v>
      </c>
      <c r="M15" s="1">
        <f t="shared" si="7"/>
        <v>6</v>
      </c>
      <c r="N15" s="1">
        <f t="shared" si="8"/>
        <v>6</v>
      </c>
    </row>
    <row r="16" spans="1:14" x14ac:dyDescent="0.25">
      <c r="B16" s="1" t="s">
        <v>38</v>
      </c>
      <c r="C16" s="27"/>
      <c r="D16" s="28">
        <v>2</v>
      </c>
      <c r="E16">
        <f t="shared" si="5"/>
        <v>2</v>
      </c>
      <c r="G16" s="1">
        <v>2</v>
      </c>
      <c r="H16" s="1">
        <f t="shared" si="6"/>
        <v>4</v>
      </c>
      <c r="J16" s="1">
        <f t="shared" si="3"/>
        <v>4</v>
      </c>
      <c r="K16" s="1">
        <f t="shared" si="4"/>
        <v>8</v>
      </c>
      <c r="M16" s="1">
        <f t="shared" si="7"/>
        <v>6</v>
      </c>
      <c r="N16" s="1">
        <f t="shared" si="8"/>
        <v>12</v>
      </c>
    </row>
    <row r="17" spans="2:14" x14ac:dyDescent="0.25">
      <c r="B17" s="1" t="s">
        <v>39</v>
      </c>
      <c r="C17" s="27"/>
      <c r="D17" s="28">
        <v>2</v>
      </c>
      <c r="E17">
        <f t="shared" si="5"/>
        <v>2</v>
      </c>
      <c r="G17" s="1">
        <v>2</v>
      </c>
      <c r="H17" s="1">
        <f t="shared" si="6"/>
        <v>4</v>
      </c>
      <c r="J17" s="1">
        <f t="shared" si="3"/>
        <v>4</v>
      </c>
      <c r="K17" s="1">
        <f t="shared" si="4"/>
        <v>8</v>
      </c>
      <c r="M17" s="1">
        <f t="shared" si="7"/>
        <v>6</v>
      </c>
      <c r="N17" s="1">
        <f t="shared" si="8"/>
        <v>12</v>
      </c>
    </row>
    <row r="18" spans="2:14" x14ac:dyDescent="0.25">
      <c r="B18" s="1" t="s">
        <v>35</v>
      </c>
      <c r="C18" s="27"/>
      <c r="D18" s="28">
        <v>10</v>
      </c>
      <c r="E18">
        <f t="shared" si="5"/>
        <v>10</v>
      </c>
      <c r="G18" s="1">
        <v>1</v>
      </c>
      <c r="H18" s="1">
        <f t="shared" si="6"/>
        <v>10</v>
      </c>
      <c r="J18" s="1">
        <f t="shared" si="3"/>
        <v>2</v>
      </c>
      <c r="K18" s="1">
        <f t="shared" si="4"/>
        <v>20</v>
      </c>
      <c r="M18" s="1">
        <f t="shared" si="7"/>
        <v>3</v>
      </c>
      <c r="N18" s="1">
        <f t="shared" si="8"/>
        <v>30</v>
      </c>
    </row>
    <row r="19" spans="2:14" x14ac:dyDescent="0.25">
      <c r="B19" s="1" t="s">
        <v>80</v>
      </c>
      <c r="C19" s="27"/>
      <c r="D19" s="28">
        <v>6</v>
      </c>
      <c r="E19">
        <f t="shared" si="5"/>
        <v>6</v>
      </c>
      <c r="G19" s="1">
        <v>1</v>
      </c>
      <c r="H19" s="1">
        <f t="shared" si="6"/>
        <v>6</v>
      </c>
      <c r="J19" s="1">
        <f t="shared" si="3"/>
        <v>2</v>
      </c>
      <c r="K19" s="1">
        <f t="shared" si="4"/>
        <v>12</v>
      </c>
      <c r="M19" s="1">
        <v>2</v>
      </c>
      <c r="N19" s="1">
        <f t="shared" si="8"/>
        <v>12</v>
      </c>
    </row>
    <row r="20" spans="2:14" x14ac:dyDescent="0.25">
      <c r="B20" s="1" t="s">
        <v>81</v>
      </c>
      <c r="C20" s="27"/>
      <c r="D20" s="28">
        <v>6</v>
      </c>
      <c r="E20">
        <f t="shared" si="5"/>
        <v>6</v>
      </c>
      <c r="G20" s="1">
        <v>1</v>
      </c>
      <c r="H20" s="1">
        <f t="shared" si="6"/>
        <v>6</v>
      </c>
      <c r="J20" s="1">
        <f t="shared" si="3"/>
        <v>2</v>
      </c>
      <c r="K20" s="1">
        <f t="shared" si="4"/>
        <v>12</v>
      </c>
      <c r="M20" s="1">
        <v>2</v>
      </c>
      <c r="N20" s="1">
        <f t="shared" si="8"/>
        <v>12</v>
      </c>
    </row>
    <row r="21" spans="2:14" x14ac:dyDescent="0.25">
      <c r="B21" s="1" t="s">
        <v>82</v>
      </c>
      <c r="C21" s="27"/>
      <c r="D21" s="28">
        <v>6</v>
      </c>
      <c r="E21">
        <f t="shared" si="5"/>
        <v>6</v>
      </c>
      <c r="G21" s="1">
        <v>1</v>
      </c>
      <c r="H21" s="1">
        <f t="shared" si="6"/>
        <v>6</v>
      </c>
      <c r="J21" s="1">
        <f t="shared" si="3"/>
        <v>2</v>
      </c>
      <c r="K21" s="1">
        <f t="shared" si="4"/>
        <v>12</v>
      </c>
      <c r="M21" s="1">
        <v>2</v>
      </c>
      <c r="N21" s="1">
        <f t="shared" si="8"/>
        <v>12</v>
      </c>
    </row>
    <row r="22" spans="2:14" x14ac:dyDescent="0.25">
      <c r="B22" s="1" t="s">
        <v>83</v>
      </c>
      <c r="C22" s="27"/>
      <c r="D22" s="28">
        <v>6</v>
      </c>
      <c r="E22">
        <f t="shared" si="5"/>
        <v>6</v>
      </c>
      <c r="G22" s="1">
        <v>1</v>
      </c>
      <c r="H22" s="1">
        <f t="shared" si="6"/>
        <v>6</v>
      </c>
      <c r="J22" s="1">
        <f t="shared" si="3"/>
        <v>2</v>
      </c>
      <c r="K22" s="1">
        <f t="shared" si="4"/>
        <v>12</v>
      </c>
      <c r="M22" s="1">
        <v>2</v>
      </c>
      <c r="N22" s="1">
        <f t="shared" si="8"/>
        <v>12</v>
      </c>
    </row>
    <row r="23" spans="2:14" x14ac:dyDescent="0.25">
      <c r="B23" s="1" t="s">
        <v>84</v>
      </c>
      <c r="C23" s="27"/>
      <c r="D23" s="28">
        <v>2</v>
      </c>
      <c r="E23">
        <f t="shared" si="5"/>
        <v>2</v>
      </c>
      <c r="G23" s="1">
        <v>2</v>
      </c>
      <c r="H23" s="1">
        <f t="shared" si="6"/>
        <v>4</v>
      </c>
      <c r="J23" s="1">
        <f t="shared" si="3"/>
        <v>4</v>
      </c>
      <c r="K23" s="1">
        <f t="shared" si="4"/>
        <v>8</v>
      </c>
      <c r="M23" s="1">
        <f t="shared" si="7"/>
        <v>6</v>
      </c>
      <c r="N23" s="1">
        <f t="shared" si="8"/>
        <v>12</v>
      </c>
    </row>
    <row r="24" spans="2:14" x14ac:dyDescent="0.25">
      <c r="B24" s="1" t="s">
        <v>85</v>
      </c>
      <c r="C24" s="27"/>
      <c r="D24" s="28">
        <v>2</v>
      </c>
      <c r="E24">
        <f t="shared" si="5"/>
        <v>2</v>
      </c>
      <c r="G24" s="1">
        <v>2</v>
      </c>
      <c r="H24" s="1">
        <f t="shared" si="6"/>
        <v>4</v>
      </c>
      <c r="J24" s="1">
        <f t="shared" si="3"/>
        <v>4</v>
      </c>
      <c r="K24" s="1">
        <f t="shared" si="4"/>
        <v>8</v>
      </c>
      <c r="M24" s="1">
        <f t="shared" si="7"/>
        <v>6</v>
      </c>
      <c r="N24" s="1">
        <f t="shared" si="8"/>
        <v>12</v>
      </c>
    </row>
    <row r="25" spans="2:14" x14ac:dyDescent="0.25">
      <c r="B25" s="1" t="s">
        <v>86</v>
      </c>
      <c r="C25" s="27"/>
      <c r="D25" s="28">
        <v>1</v>
      </c>
      <c r="E25">
        <f t="shared" si="5"/>
        <v>1</v>
      </c>
      <c r="G25" s="1">
        <v>2</v>
      </c>
      <c r="H25" s="1">
        <f t="shared" si="6"/>
        <v>2</v>
      </c>
      <c r="J25" s="1">
        <f t="shared" si="3"/>
        <v>4</v>
      </c>
      <c r="K25" s="1">
        <f t="shared" si="4"/>
        <v>4</v>
      </c>
      <c r="M25" s="1">
        <f t="shared" si="7"/>
        <v>6</v>
      </c>
      <c r="N25" s="1">
        <f t="shared" si="8"/>
        <v>6</v>
      </c>
    </row>
    <row r="26" spans="2:14" x14ac:dyDescent="0.25">
      <c r="B26" s="1" t="s">
        <v>87</v>
      </c>
      <c r="C26" s="27"/>
      <c r="D26" s="28">
        <v>1</v>
      </c>
      <c r="E26">
        <f t="shared" si="5"/>
        <v>1</v>
      </c>
      <c r="G26" s="1">
        <v>2</v>
      </c>
      <c r="H26" s="1">
        <f t="shared" si="6"/>
        <v>2</v>
      </c>
      <c r="J26" s="1">
        <f t="shared" si="3"/>
        <v>4</v>
      </c>
      <c r="K26" s="1">
        <f t="shared" si="4"/>
        <v>4</v>
      </c>
      <c r="M26" s="1">
        <f t="shared" si="7"/>
        <v>6</v>
      </c>
      <c r="N26" s="1">
        <f t="shared" si="8"/>
        <v>6</v>
      </c>
    </row>
    <row r="27" spans="2:14" x14ac:dyDescent="0.25">
      <c r="B27" s="1" t="s">
        <v>88</v>
      </c>
      <c r="C27" s="27"/>
      <c r="D27" s="28">
        <v>0.5</v>
      </c>
      <c r="E27">
        <f t="shared" si="5"/>
        <v>0.5</v>
      </c>
      <c r="G27" s="1">
        <v>2</v>
      </c>
      <c r="H27" s="1">
        <f t="shared" si="6"/>
        <v>1</v>
      </c>
      <c r="J27" s="1">
        <f t="shared" si="3"/>
        <v>4</v>
      </c>
      <c r="K27" s="1">
        <f t="shared" si="4"/>
        <v>2</v>
      </c>
      <c r="M27" s="1">
        <f t="shared" si="7"/>
        <v>6</v>
      </c>
      <c r="N27" s="1">
        <f t="shared" si="8"/>
        <v>3</v>
      </c>
    </row>
    <row r="28" spans="2:14" x14ac:dyDescent="0.25">
      <c r="B28" s="1" t="s">
        <v>89</v>
      </c>
      <c r="C28" s="27"/>
      <c r="D28" s="28">
        <v>1</v>
      </c>
      <c r="E28">
        <f t="shared" si="5"/>
        <v>1</v>
      </c>
      <c r="G28" s="1">
        <v>2</v>
      </c>
      <c r="H28" s="1">
        <f t="shared" si="6"/>
        <v>2</v>
      </c>
      <c r="J28" s="1">
        <f t="shared" si="3"/>
        <v>4</v>
      </c>
      <c r="K28" s="1">
        <f t="shared" si="4"/>
        <v>4</v>
      </c>
      <c r="M28" s="1">
        <f t="shared" si="7"/>
        <v>6</v>
      </c>
      <c r="N28" s="1">
        <f t="shared" si="8"/>
        <v>6</v>
      </c>
    </row>
    <row r="29" spans="2:14" x14ac:dyDescent="0.25">
      <c r="B29" s="1" t="s">
        <v>90</v>
      </c>
      <c r="C29" s="27"/>
      <c r="D29" s="28">
        <v>9</v>
      </c>
      <c r="E29">
        <f t="shared" si="5"/>
        <v>9</v>
      </c>
      <c r="G29" s="1">
        <v>2</v>
      </c>
      <c r="H29" s="1">
        <f t="shared" si="6"/>
        <v>18</v>
      </c>
      <c r="J29" s="1">
        <f t="shared" si="3"/>
        <v>4</v>
      </c>
      <c r="K29" s="1">
        <f t="shared" si="4"/>
        <v>36</v>
      </c>
      <c r="M29" s="1">
        <v>2</v>
      </c>
      <c r="N29" s="1">
        <f t="shared" si="8"/>
        <v>18</v>
      </c>
    </row>
    <row r="30" spans="2:14" x14ac:dyDescent="0.25">
      <c r="B30" s="1" t="s">
        <v>91</v>
      </c>
      <c r="C30" s="27"/>
      <c r="D30" s="28">
        <v>3</v>
      </c>
      <c r="E30">
        <f t="shared" si="5"/>
        <v>3</v>
      </c>
      <c r="G30" s="1">
        <v>2</v>
      </c>
      <c r="H30" s="1">
        <f t="shared" si="6"/>
        <v>6</v>
      </c>
      <c r="J30" s="1">
        <f t="shared" si="3"/>
        <v>4</v>
      </c>
      <c r="K30" s="1">
        <f t="shared" si="4"/>
        <v>12</v>
      </c>
      <c r="M30" s="1">
        <f t="shared" si="7"/>
        <v>6</v>
      </c>
      <c r="N30" s="1">
        <f t="shared" si="8"/>
        <v>18</v>
      </c>
    </row>
    <row r="31" spans="2:14" x14ac:dyDescent="0.25">
      <c r="B31" s="1" t="s">
        <v>92</v>
      </c>
      <c r="C31" s="27"/>
      <c r="D31" s="28">
        <v>5</v>
      </c>
      <c r="E31">
        <f t="shared" si="5"/>
        <v>5</v>
      </c>
      <c r="G31" s="1">
        <v>2</v>
      </c>
      <c r="H31" s="1">
        <f t="shared" si="6"/>
        <v>10</v>
      </c>
      <c r="J31" s="1">
        <f t="shared" si="3"/>
        <v>4</v>
      </c>
      <c r="K31" s="1">
        <f t="shared" si="4"/>
        <v>20</v>
      </c>
      <c r="M31" s="1">
        <v>2</v>
      </c>
      <c r="N31" s="1">
        <f t="shared" si="8"/>
        <v>10</v>
      </c>
    </row>
    <row r="32" spans="2:14" x14ac:dyDescent="0.25">
      <c r="B32" s="1"/>
      <c r="C32" s="27"/>
      <c r="D32" s="28"/>
      <c r="E32">
        <f t="shared" si="5"/>
        <v>0</v>
      </c>
      <c r="G32" s="1"/>
      <c r="H32" s="1"/>
      <c r="J32" s="1">
        <f t="shared" si="3"/>
        <v>0</v>
      </c>
      <c r="K32" s="1">
        <f t="shared" si="4"/>
        <v>0</v>
      </c>
      <c r="M32" s="1">
        <f t="shared" si="7"/>
        <v>0</v>
      </c>
      <c r="N32" s="1">
        <f t="shared" si="8"/>
        <v>0</v>
      </c>
    </row>
    <row r="33" spans="2:14" x14ac:dyDescent="0.25">
      <c r="B33" s="1"/>
      <c r="C33" s="27"/>
      <c r="D33" s="28"/>
      <c r="E33">
        <f t="shared" si="5"/>
        <v>0</v>
      </c>
      <c r="G33" s="1"/>
      <c r="H33" s="1"/>
      <c r="J33" s="1">
        <f t="shared" si="3"/>
        <v>0</v>
      </c>
      <c r="K33" s="1">
        <f t="shared" si="4"/>
        <v>0</v>
      </c>
      <c r="M33" s="1">
        <f t="shared" si="7"/>
        <v>0</v>
      </c>
      <c r="N33" s="1">
        <f t="shared" si="8"/>
        <v>0</v>
      </c>
    </row>
    <row r="34" spans="2:14" x14ac:dyDescent="0.25">
      <c r="B34" s="9" t="s">
        <v>55</v>
      </c>
      <c r="C34" s="27"/>
      <c r="D34" s="28"/>
      <c r="E34">
        <f t="shared" si="5"/>
        <v>0</v>
      </c>
      <c r="G34" s="1"/>
      <c r="H34" s="1">
        <f t="shared" si="6"/>
        <v>0</v>
      </c>
      <c r="J34" s="1">
        <f t="shared" si="3"/>
        <v>0</v>
      </c>
      <c r="K34" s="1">
        <f t="shared" si="4"/>
        <v>0</v>
      </c>
      <c r="M34" s="1">
        <f t="shared" si="7"/>
        <v>0</v>
      </c>
      <c r="N34" s="1">
        <f t="shared" si="8"/>
        <v>0</v>
      </c>
    </row>
    <row r="35" spans="2:14" x14ac:dyDescent="0.25">
      <c r="B35" s="1" t="s">
        <v>93</v>
      </c>
      <c r="C35" s="27"/>
      <c r="D35" s="28">
        <v>2</v>
      </c>
      <c r="E35">
        <f t="shared" si="5"/>
        <v>2</v>
      </c>
      <c r="G35" s="1">
        <v>2</v>
      </c>
      <c r="H35" s="1">
        <f t="shared" si="6"/>
        <v>4</v>
      </c>
      <c r="J35" s="1">
        <f t="shared" si="3"/>
        <v>4</v>
      </c>
      <c r="K35" s="1">
        <f t="shared" si="4"/>
        <v>8</v>
      </c>
      <c r="M35" s="1">
        <f t="shared" si="7"/>
        <v>6</v>
      </c>
      <c r="N35" s="1">
        <f t="shared" si="8"/>
        <v>12</v>
      </c>
    </row>
    <row r="36" spans="2:14" x14ac:dyDescent="0.25">
      <c r="B36" s="1" t="s">
        <v>94</v>
      </c>
      <c r="C36" s="27"/>
      <c r="D36" s="28">
        <v>3</v>
      </c>
      <c r="E36">
        <f t="shared" si="5"/>
        <v>3</v>
      </c>
      <c r="G36" s="1">
        <v>2</v>
      </c>
      <c r="H36" s="1">
        <f t="shared" si="6"/>
        <v>6</v>
      </c>
      <c r="J36" s="1">
        <f t="shared" si="3"/>
        <v>4</v>
      </c>
      <c r="K36" s="1">
        <f t="shared" ref="K36:K46" si="9">D36*J36</f>
        <v>12</v>
      </c>
      <c r="M36" s="1">
        <f t="shared" si="7"/>
        <v>6</v>
      </c>
      <c r="N36" s="1">
        <f t="shared" si="8"/>
        <v>18</v>
      </c>
    </row>
    <row r="37" spans="2:14" x14ac:dyDescent="0.25">
      <c r="B37" s="1" t="s">
        <v>95</v>
      </c>
      <c r="C37" s="27"/>
      <c r="D37" s="28">
        <v>3</v>
      </c>
      <c r="E37">
        <f t="shared" si="5"/>
        <v>3</v>
      </c>
      <c r="G37" s="1">
        <v>2</v>
      </c>
      <c r="H37" s="1">
        <f t="shared" si="6"/>
        <v>6</v>
      </c>
      <c r="J37" s="1">
        <f t="shared" si="3"/>
        <v>4</v>
      </c>
      <c r="K37" s="1">
        <f t="shared" si="9"/>
        <v>12</v>
      </c>
      <c r="M37" s="1">
        <f t="shared" si="7"/>
        <v>6</v>
      </c>
      <c r="N37" s="1">
        <f t="shared" si="8"/>
        <v>18</v>
      </c>
    </row>
    <row r="38" spans="2:14" x14ac:dyDescent="0.25">
      <c r="B38" s="1" t="s">
        <v>96</v>
      </c>
      <c r="C38" s="1"/>
      <c r="D38" s="1">
        <v>2.5</v>
      </c>
      <c r="E38">
        <f t="shared" si="5"/>
        <v>2.5</v>
      </c>
      <c r="F38" s="4"/>
      <c r="G38" s="1">
        <v>2</v>
      </c>
      <c r="H38" s="1">
        <f t="shared" si="6"/>
        <v>5</v>
      </c>
      <c r="J38" s="1">
        <f t="shared" si="3"/>
        <v>4</v>
      </c>
      <c r="K38" s="1">
        <f t="shared" si="9"/>
        <v>10</v>
      </c>
      <c r="L38" s="4"/>
      <c r="M38" s="1">
        <f t="shared" si="7"/>
        <v>6</v>
      </c>
      <c r="N38" s="1">
        <f t="shared" si="8"/>
        <v>15</v>
      </c>
    </row>
    <row r="39" spans="2:14" x14ac:dyDescent="0.25">
      <c r="B39" s="57" t="s">
        <v>97</v>
      </c>
      <c r="C39" s="1"/>
      <c r="D39" s="1"/>
      <c r="G39" s="1">
        <v>2</v>
      </c>
      <c r="H39" s="1">
        <f t="shared" si="6"/>
        <v>0</v>
      </c>
      <c r="J39" s="1">
        <f t="shared" si="3"/>
        <v>4</v>
      </c>
      <c r="K39" s="1">
        <f t="shared" si="9"/>
        <v>0</v>
      </c>
      <c r="M39" s="1">
        <f t="shared" si="7"/>
        <v>6</v>
      </c>
      <c r="N39" s="1">
        <f t="shared" si="8"/>
        <v>0</v>
      </c>
    </row>
    <row r="40" spans="2:14" x14ac:dyDescent="0.25">
      <c r="B40" s="57"/>
      <c r="C40" s="1"/>
      <c r="D40" s="1">
        <v>2.5</v>
      </c>
      <c r="E40">
        <f t="shared" si="5"/>
        <v>2.5</v>
      </c>
      <c r="G40" s="1">
        <v>2</v>
      </c>
      <c r="H40" s="1">
        <f t="shared" si="6"/>
        <v>5</v>
      </c>
      <c r="J40" s="1">
        <f t="shared" si="3"/>
        <v>4</v>
      </c>
      <c r="K40" s="1">
        <f t="shared" si="9"/>
        <v>10</v>
      </c>
      <c r="M40" s="1">
        <f t="shared" si="7"/>
        <v>6</v>
      </c>
      <c r="N40" s="1">
        <f t="shared" si="8"/>
        <v>15</v>
      </c>
    </row>
    <row r="41" spans="2:14" x14ac:dyDescent="0.25">
      <c r="B41" s="1" t="s">
        <v>98</v>
      </c>
      <c r="C41" s="1"/>
      <c r="D41" s="1">
        <v>3</v>
      </c>
      <c r="E41">
        <f t="shared" si="5"/>
        <v>3</v>
      </c>
      <c r="G41" s="1">
        <v>2</v>
      </c>
      <c r="H41" s="1">
        <f t="shared" si="6"/>
        <v>6</v>
      </c>
      <c r="J41" s="1">
        <f t="shared" si="3"/>
        <v>4</v>
      </c>
      <c r="K41" s="1">
        <f t="shared" si="9"/>
        <v>12</v>
      </c>
      <c r="M41" s="1">
        <f t="shared" si="7"/>
        <v>6</v>
      </c>
      <c r="N41" s="1">
        <f t="shared" si="8"/>
        <v>18</v>
      </c>
    </row>
    <row r="42" spans="2:14" x14ac:dyDescent="0.25">
      <c r="B42" s="1" t="s">
        <v>99</v>
      </c>
      <c r="C42" s="1"/>
      <c r="D42" s="1">
        <v>3</v>
      </c>
      <c r="E42">
        <f t="shared" si="5"/>
        <v>3</v>
      </c>
      <c r="G42" s="1">
        <v>2</v>
      </c>
      <c r="H42" s="1">
        <f t="shared" si="6"/>
        <v>6</v>
      </c>
      <c r="J42" s="1">
        <f t="shared" si="3"/>
        <v>4</v>
      </c>
      <c r="K42" s="1">
        <f t="shared" si="9"/>
        <v>12</v>
      </c>
      <c r="M42" s="1">
        <f t="shared" si="7"/>
        <v>6</v>
      </c>
      <c r="N42" s="1">
        <f t="shared" si="8"/>
        <v>18</v>
      </c>
    </row>
    <row r="43" spans="2:14" x14ac:dyDescent="0.25">
      <c r="B43" s="1" t="s">
        <v>100</v>
      </c>
      <c r="C43" s="1"/>
      <c r="D43" s="1">
        <v>3.5</v>
      </c>
      <c r="E43">
        <f t="shared" si="5"/>
        <v>3.5</v>
      </c>
      <c r="G43" s="1">
        <v>2</v>
      </c>
      <c r="H43" s="1">
        <f t="shared" si="6"/>
        <v>7</v>
      </c>
      <c r="J43" s="1">
        <f t="shared" si="3"/>
        <v>4</v>
      </c>
      <c r="K43" s="1">
        <f t="shared" si="9"/>
        <v>14</v>
      </c>
      <c r="M43" s="1">
        <v>3</v>
      </c>
      <c r="N43" s="1">
        <f t="shared" si="8"/>
        <v>10.5</v>
      </c>
    </row>
    <row r="44" spans="2:14" x14ac:dyDescent="0.25">
      <c r="B44" s="1" t="s">
        <v>101</v>
      </c>
      <c r="C44" s="1"/>
      <c r="D44" s="1">
        <v>2</v>
      </c>
      <c r="E44">
        <f t="shared" si="5"/>
        <v>2</v>
      </c>
      <c r="G44" s="1">
        <v>2</v>
      </c>
      <c r="H44" s="1">
        <f t="shared" si="6"/>
        <v>4</v>
      </c>
      <c r="J44" s="1">
        <f t="shared" si="3"/>
        <v>4</v>
      </c>
      <c r="K44" s="1">
        <f t="shared" si="9"/>
        <v>8</v>
      </c>
      <c r="M44" s="1">
        <v>3</v>
      </c>
      <c r="N44" s="1">
        <f t="shared" si="8"/>
        <v>6</v>
      </c>
    </row>
    <row r="45" spans="2:14" x14ac:dyDescent="0.25">
      <c r="B45" s="1" t="s">
        <v>102</v>
      </c>
      <c r="C45" s="1"/>
      <c r="D45" s="1">
        <v>3</v>
      </c>
      <c r="E45">
        <f t="shared" si="5"/>
        <v>3</v>
      </c>
      <c r="G45" s="1">
        <v>2</v>
      </c>
      <c r="H45" s="1">
        <f t="shared" si="6"/>
        <v>6</v>
      </c>
      <c r="J45" s="1">
        <f t="shared" si="3"/>
        <v>4</v>
      </c>
      <c r="K45" s="1">
        <f t="shared" si="9"/>
        <v>12</v>
      </c>
      <c r="M45" s="1">
        <v>3</v>
      </c>
      <c r="N45" s="1">
        <f t="shared" si="8"/>
        <v>9</v>
      </c>
    </row>
    <row r="46" spans="2:14" x14ac:dyDescent="0.25">
      <c r="B46" s="1" t="s">
        <v>103</v>
      </c>
      <c r="C46" s="1"/>
      <c r="D46" s="1">
        <v>2</v>
      </c>
      <c r="E46">
        <f t="shared" si="5"/>
        <v>2</v>
      </c>
      <c r="G46" s="1">
        <v>2</v>
      </c>
      <c r="H46" s="1">
        <f t="shared" si="6"/>
        <v>4</v>
      </c>
      <c r="J46" s="1">
        <f t="shared" si="3"/>
        <v>4</v>
      </c>
      <c r="K46" s="1">
        <f t="shared" si="9"/>
        <v>8</v>
      </c>
      <c r="M46" s="1">
        <f t="shared" si="7"/>
        <v>6</v>
      </c>
      <c r="N46" s="1">
        <f t="shared" si="8"/>
        <v>12</v>
      </c>
    </row>
    <row r="47" spans="2:14" x14ac:dyDescent="0.25">
      <c r="B47" s="1"/>
      <c r="C47" s="1"/>
      <c r="D47" s="1"/>
      <c r="G47" s="1"/>
      <c r="H47" s="1"/>
      <c r="J47" s="1"/>
      <c r="K47" s="1"/>
      <c r="M47" s="1"/>
      <c r="N47" s="1"/>
    </row>
    <row r="48" spans="2:14" x14ac:dyDescent="0.25">
      <c r="B48" s="1"/>
      <c r="C48" s="1"/>
      <c r="D48" s="1"/>
      <c r="G48" s="1"/>
      <c r="H48" s="1"/>
      <c r="J48" s="1"/>
      <c r="K48" s="1"/>
      <c r="M48" s="1"/>
      <c r="N48" s="1"/>
    </row>
    <row r="49" spans="2:14" s="17" customFormat="1" x14ac:dyDescent="0.25">
      <c r="B49" s="7" t="s">
        <v>67</v>
      </c>
      <c r="C49" s="7"/>
      <c r="D49" s="7"/>
      <c r="G49" s="7"/>
      <c r="H49" s="30">
        <f>SUM(H6:H48)</f>
        <v>175.5</v>
      </c>
      <c r="J49" s="7"/>
      <c r="K49" s="30">
        <f>SUM(K6:K48)</f>
        <v>447.5</v>
      </c>
      <c r="M49" s="7"/>
      <c r="N49" s="7">
        <f>SUM(N6:N48)</f>
        <v>994</v>
      </c>
    </row>
    <row r="50" spans="2:14" x14ac:dyDescent="0.25">
      <c r="B50" s="1"/>
      <c r="C50" s="1"/>
      <c r="D50" s="1"/>
      <c r="G50" s="1"/>
      <c r="H50" s="1"/>
      <c r="J50" s="1"/>
      <c r="K50" s="1"/>
      <c r="M50" s="1"/>
      <c r="N50" s="1"/>
    </row>
    <row r="51" spans="2:14" x14ac:dyDescent="0.25">
      <c r="B51" s="1"/>
      <c r="C51" s="1"/>
      <c r="D51" s="1"/>
      <c r="G51" s="1"/>
      <c r="H51" s="1"/>
      <c r="J51" s="1"/>
      <c r="K51" s="1"/>
      <c r="M51" s="1"/>
      <c r="N51" s="1"/>
    </row>
    <row r="52" spans="2:14" x14ac:dyDescent="0.25">
      <c r="B52" s="1"/>
      <c r="C52" s="1"/>
      <c r="D52" s="1"/>
      <c r="G52" s="1"/>
      <c r="H52" s="1"/>
      <c r="J52" s="1"/>
      <c r="K52" s="1"/>
      <c r="M52" s="1"/>
      <c r="N52" s="1"/>
    </row>
  </sheetData>
  <mergeCells count="2">
    <mergeCell ref="B1:N1"/>
    <mergeCell ref="B39:B4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663E-371D-4365-99D5-C340149E1FCF}">
  <dimension ref="A1:O46"/>
  <sheetViews>
    <sheetView topLeftCell="A32" workbookViewId="0">
      <selection activeCell="S39" sqref="S39"/>
    </sheetView>
  </sheetViews>
  <sheetFormatPr defaultRowHeight="16.5" x14ac:dyDescent="0.25"/>
  <cols>
    <col min="3" max="3" width="20.28515625" customWidth="1"/>
  </cols>
  <sheetData>
    <row r="1" spans="1:15" ht="17.25" thickBot="1" x14ac:dyDescent="0.3"/>
    <row r="2" spans="1:15" ht="17.25" thickBot="1" x14ac:dyDescent="0.3">
      <c r="A2" s="15" t="s">
        <v>24</v>
      </c>
      <c r="H2" s="58" t="s">
        <v>0</v>
      </c>
      <c r="I2" s="59"/>
      <c r="K2" s="58" t="s">
        <v>1</v>
      </c>
      <c r="L2" s="59"/>
      <c r="M2" s="31"/>
      <c r="N2" s="60" t="s">
        <v>25</v>
      </c>
      <c r="O2" s="61"/>
    </row>
    <row r="3" spans="1:15" x14ac:dyDescent="0.25">
      <c r="C3" s="1" t="s">
        <v>26</v>
      </c>
      <c r="D3" s="1" t="s">
        <v>2</v>
      </c>
      <c r="E3" s="1" t="s">
        <v>3</v>
      </c>
      <c r="F3" t="s">
        <v>104</v>
      </c>
      <c r="H3" s="2" t="s">
        <v>4</v>
      </c>
      <c r="I3" s="2" t="s">
        <v>5</v>
      </c>
      <c r="K3" s="2" t="s">
        <v>4</v>
      </c>
      <c r="L3" s="2" t="s">
        <v>5</v>
      </c>
      <c r="N3" s="2" t="s">
        <v>4</v>
      </c>
      <c r="O3" s="21" t="s">
        <v>5</v>
      </c>
    </row>
    <row r="4" spans="1:15" ht="17.25" thickBot="1" x14ac:dyDescent="0.3">
      <c r="C4" s="1"/>
      <c r="D4" s="1"/>
      <c r="E4" s="1"/>
      <c r="H4" s="2"/>
      <c r="I4" s="2"/>
      <c r="K4" s="2"/>
      <c r="L4" s="2"/>
      <c r="N4" s="2"/>
      <c r="O4" s="32"/>
    </row>
    <row r="5" spans="1:15" ht="17.25" thickBot="1" x14ac:dyDescent="0.3">
      <c r="B5" s="33" t="s">
        <v>105</v>
      </c>
      <c r="C5" s="1" t="s">
        <v>106</v>
      </c>
      <c r="D5" s="1"/>
      <c r="E5" s="1">
        <v>80</v>
      </c>
      <c r="F5" s="34">
        <f>E5*1.3</f>
        <v>104</v>
      </c>
      <c r="G5" s="4"/>
      <c r="H5" s="1">
        <v>0</v>
      </c>
      <c r="I5" s="1">
        <f>F5*H5</f>
        <v>0</v>
      </c>
      <c r="K5" s="1">
        <v>1</v>
      </c>
      <c r="L5" s="1">
        <f>F5*K5</f>
        <v>104</v>
      </c>
      <c r="M5" s="4"/>
      <c r="N5" s="1">
        <v>0</v>
      </c>
      <c r="O5" s="1">
        <f>F5*N5</f>
        <v>0</v>
      </c>
    </row>
    <row r="6" spans="1:15" x14ac:dyDescent="0.25">
      <c r="C6" s="1" t="s">
        <v>107</v>
      </c>
      <c r="D6" s="1"/>
      <c r="E6" s="1">
        <v>250</v>
      </c>
      <c r="F6" s="34">
        <f t="shared" ref="F6:F21" si="0">E6*1.3</f>
        <v>325</v>
      </c>
      <c r="H6" s="1">
        <v>0</v>
      </c>
      <c r="I6" s="1">
        <v>0</v>
      </c>
      <c r="K6" s="1">
        <v>0</v>
      </c>
      <c r="L6" s="1">
        <v>0</v>
      </c>
      <c r="N6" s="1">
        <v>1</v>
      </c>
      <c r="O6" s="1">
        <f>F6*N6</f>
        <v>325</v>
      </c>
    </row>
    <row r="7" spans="1:15" x14ac:dyDescent="0.25">
      <c r="C7" s="1" t="s">
        <v>108</v>
      </c>
      <c r="D7" s="1"/>
      <c r="E7" s="1">
        <v>65</v>
      </c>
      <c r="F7" s="34">
        <f t="shared" si="0"/>
        <v>84.5</v>
      </c>
      <c r="H7" s="1">
        <v>0</v>
      </c>
      <c r="I7" s="1">
        <v>0</v>
      </c>
      <c r="K7" s="1">
        <v>0</v>
      </c>
      <c r="L7" s="1">
        <v>0</v>
      </c>
      <c r="N7" s="1">
        <v>2</v>
      </c>
      <c r="O7" s="1">
        <f>F7*N7</f>
        <v>169</v>
      </c>
    </row>
    <row r="8" spans="1:15" x14ac:dyDescent="0.25">
      <c r="C8" s="1" t="s">
        <v>109</v>
      </c>
      <c r="D8" s="1"/>
      <c r="E8" s="1">
        <v>60</v>
      </c>
      <c r="F8" s="34">
        <f t="shared" si="0"/>
        <v>78</v>
      </c>
      <c r="H8" s="1">
        <v>0</v>
      </c>
      <c r="I8" s="1">
        <f>F8*H8</f>
        <v>0</v>
      </c>
      <c r="K8" s="1">
        <v>1</v>
      </c>
      <c r="L8" s="1">
        <f t="shared" ref="L8:L21" si="1">F8*K8</f>
        <v>78</v>
      </c>
      <c r="N8" s="1">
        <v>0</v>
      </c>
      <c r="O8" s="1">
        <f>F8*N8</f>
        <v>0</v>
      </c>
    </row>
    <row r="9" spans="1:15" x14ac:dyDescent="0.25">
      <c r="C9" s="1" t="s">
        <v>110</v>
      </c>
      <c r="D9" s="1"/>
      <c r="E9" s="1">
        <v>30</v>
      </c>
      <c r="F9" s="34">
        <f t="shared" si="0"/>
        <v>39</v>
      </c>
      <c r="H9" s="1">
        <v>0</v>
      </c>
      <c r="I9" s="1"/>
      <c r="K9" s="1">
        <v>1</v>
      </c>
      <c r="L9" s="1">
        <f t="shared" si="1"/>
        <v>39</v>
      </c>
      <c r="N9" s="1"/>
      <c r="O9" s="1"/>
    </row>
    <row r="10" spans="1:15" x14ac:dyDescent="0.25">
      <c r="C10" s="1" t="s">
        <v>31</v>
      </c>
      <c r="D10" s="1"/>
      <c r="E10" s="1">
        <v>20</v>
      </c>
      <c r="F10" s="34">
        <f t="shared" si="0"/>
        <v>26</v>
      </c>
      <c r="H10" s="1">
        <v>0</v>
      </c>
      <c r="I10" s="1">
        <f t="shared" ref="I10:I21" si="2">F10*H10</f>
        <v>0</v>
      </c>
      <c r="K10" s="1">
        <v>0</v>
      </c>
      <c r="L10" s="1">
        <f t="shared" si="1"/>
        <v>0</v>
      </c>
      <c r="N10" s="1">
        <f>K10+1</f>
        <v>1</v>
      </c>
      <c r="O10" s="1">
        <f t="shared" ref="O10:O21" si="3">F10*N10</f>
        <v>26</v>
      </c>
    </row>
    <row r="11" spans="1:15" x14ac:dyDescent="0.25">
      <c r="C11" s="1" t="s">
        <v>111</v>
      </c>
      <c r="D11" s="1"/>
      <c r="E11" s="1">
        <v>10</v>
      </c>
      <c r="F11" s="34">
        <f t="shared" si="0"/>
        <v>13</v>
      </c>
      <c r="H11" s="1">
        <v>0</v>
      </c>
      <c r="I11" s="1">
        <f t="shared" si="2"/>
        <v>0</v>
      </c>
      <c r="K11" s="1">
        <v>0</v>
      </c>
      <c r="L11" s="1">
        <f t="shared" si="1"/>
        <v>0</v>
      </c>
      <c r="N11" s="1">
        <f>K11+1</f>
        <v>1</v>
      </c>
      <c r="O11" s="1">
        <f t="shared" si="3"/>
        <v>13</v>
      </c>
    </row>
    <row r="12" spans="1:15" x14ac:dyDescent="0.25">
      <c r="C12" s="1" t="s">
        <v>112</v>
      </c>
      <c r="D12" s="1"/>
      <c r="E12" s="1">
        <v>10</v>
      </c>
      <c r="F12" s="34">
        <f t="shared" si="0"/>
        <v>13</v>
      </c>
      <c r="H12" s="1">
        <v>1</v>
      </c>
      <c r="I12" s="1">
        <f t="shared" si="2"/>
        <v>13</v>
      </c>
      <c r="K12" s="1">
        <f t="shared" ref="K12:K17" si="4">H12</f>
        <v>1</v>
      </c>
      <c r="L12" s="1">
        <f t="shared" si="1"/>
        <v>13</v>
      </c>
      <c r="N12" s="1">
        <v>1</v>
      </c>
      <c r="O12" s="1">
        <f t="shared" si="3"/>
        <v>13</v>
      </c>
    </row>
    <row r="13" spans="1:15" x14ac:dyDescent="0.25">
      <c r="C13" s="1" t="s">
        <v>113</v>
      </c>
      <c r="D13" s="1"/>
      <c r="E13" s="1">
        <v>5</v>
      </c>
      <c r="F13" s="34">
        <f t="shared" si="0"/>
        <v>6.5</v>
      </c>
      <c r="H13" s="1">
        <v>1</v>
      </c>
      <c r="I13" s="1">
        <f t="shared" si="2"/>
        <v>6.5</v>
      </c>
      <c r="K13" s="1">
        <f t="shared" si="4"/>
        <v>1</v>
      </c>
      <c r="L13" s="1">
        <f t="shared" si="1"/>
        <v>6.5</v>
      </c>
      <c r="N13" s="1">
        <f t="shared" ref="N13:N19" si="5">K13+1</f>
        <v>2</v>
      </c>
      <c r="O13" s="1">
        <f t="shared" si="3"/>
        <v>13</v>
      </c>
    </row>
    <row r="14" spans="1:15" x14ac:dyDescent="0.25">
      <c r="C14" s="1" t="s">
        <v>114</v>
      </c>
      <c r="D14" s="1"/>
      <c r="E14" s="1">
        <v>0.5</v>
      </c>
      <c r="F14" s="34">
        <f t="shared" si="0"/>
        <v>0.65</v>
      </c>
      <c r="H14" s="1">
        <v>1</v>
      </c>
      <c r="I14" s="1">
        <f t="shared" si="2"/>
        <v>0.65</v>
      </c>
      <c r="K14" s="1">
        <f t="shared" si="4"/>
        <v>1</v>
      </c>
      <c r="L14" s="1">
        <f t="shared" si="1"/>
        <v>0.65</v>
      </c>
      <c r="N14" s="1">
        <f t="shared" si="5"/>
        <v>2</v>
      </c>
      <c r="O14" s="1">
        <f t="shared" si="3"/>
        <v>1.3</v>
      </c>
    </row>
    <row r="15" spans="1:15" x14ac:dyDescent="0.25">
      <c r="C15" s="1" t="s">
        <v>115</v>
      </c>
      <c r="D15" s="1"/>
      <c r="E15" s="1">
        <v>0.5</v>
      </c>
      <c r="F15" s="34">
        <f t="shared" si="0"/>
        <v>0.65</v>
      </c>
      <c r="H15" s="1">
        <v>2</v>
      </c>
      <c r="I15" s="1">
        <f t="shared" si="2"/>
        <v>1.3</v>
      </c>
      <c r="K15" s="1">
        <f t="shared" si="4"/>
        <v>2</v>
      </c>
      <c r="L15" s="1">
        <f t="shared" si="1"/>
        <v>1.3</v>
      </c>
      <c r="N15" s="1">
        <f t="shared" si="5"/>
        <v>3</v>
      </c>
      <c r="O15" s="1">
        <f t="shared" si="3"/>
        <v>1.9500000000000002</v>
      </c>
    </row>
    <row r="16" spans="1:15" x14ac:dyDescent="0.25">
      <c r="C16" s="1" t="s">
        <v>116</v>
      </c>
      <c r="D16" s="1"/>
      <c r="E16" s="1">
        <v>3</v>
      </c>
      <c r="F16" s="34">
        <f t="shared" si="0"/>
        <v>3.9000000000000004</v>
      </c>
      <c r="H16" s="1">
        <v>1</v>
      </c>
      <c r="I16" s="1">
        <f t="shared" si="2"/>
        <v>3.9000000000000004</v>
      </c>
      <c r="K16" s="1">
        <f t="shared" si="4"/>
        <v>1</v>
      </c>
      <c r="L16" s="1">
        <f t="shared" si="1"/>
        <v>3.9000000000000004</v>
      </c>
      <c r="N16" s="1">
        <f t="shared" si="5"/>
        <v>2</v>
      </c>
      <c r="O16" s="1">
        <f t="shared" si="3"/>
        <v>7.8000000000000007</v>
      </c>
    </row>
    <row r="17" spans="3:15" x14ac:dyDescent="0.25">
      <c r="C17" s="1" t="s">
        <v>117</v>
      </c>
      <c r="D17" s="1"/>
      <c r="E17" s="1">
        <v>5</v>
      </c>
      <c r="F17" s="34">
        <f t="shared" si="0"/>
        <v>6.5</v>
      </c>
      <c r="H17" s="1">
        <v>1</v>
      </c>
      <c r="I17" s="1">
        <f t="shared" si="2"/>
        <v>6.5</v>
      </c>
      <c r="K17" s="1">
        <f t="shared" si="4"/>
        <v>1</v>
      </c>
      <c r="L17" s="1">
        <f t="shared" si="1"/>
        <v>6.5</v>
      </c>
      <c r="N17" s="1">
        <f t="shared" si="5"/>
        <v>2</v>
      </c>
      <c r="O17" s="1">
        <f t="shared" si="3"/>
        <v>13</v>
      </c>
    </row>
    <row r="18" spans="3:15" x14ac:dyDescent="0.25">
      <c r="C18" s="1" t="s">
        <v>118</v>
      </c>
      <c r="D18" s="1"/>
      <c r="E18" s="1">
        <v>20</v>
      </c>
      <c r="F18" s="34">
        <f t="shared" si="0"/>
        <v>26</v>
      </c>
      <c r="H18" s="1">
        <v>0</v>
      </c>
      <c r="I18" s="1">
        <f t="shared" si="2"/>
        <v>0</v>
      </c>
      <c r="K18" s="1">
        <v>0</v>
      </c>
      <c r="L18" s="1">
        <f t="shared" si="1"/>
        <v>0</v>
      </c>
      <c r="N18" s="1">
        <f t="shared" si="5"/>
        <v>1</v>
      </c>
      <c r="O18" s="1">
        <f t="shared" si="3"/>
        <v>26</v>
      </c>
    </row>
    <row r="19" spans="3:15" x14ac:dyDescent="0.25">
      <c r="C19" s="1" t="s">
        <v>119</v>
      </c>
      <c r="D19" s="1"/>
      <c r="E19" s="1">
        <v>5</v>
      </c>
      <c r="F19" s="34">
        <f t="shared" si="0"/>
        <v>6.5</v>
      </c>
      <c r="H19" s="1">
        <v>1</v>
      </c>
      <c r="I19" s="1">
        <f t="shared" si="2"/>
        <v>6.5</v>
      </c>
      <c r="K19" s="1">
        <f>H19</f>
        <v>1</v>
      </c>
      <c r="L19" s="1">
        <f t="shared" si="1"/>
        <v>6.5</v>
      </c>
      <c r="N19" s="1">
        <f t="shared" si="5"/>
        <v>2</v>
      </c>
      <c r="O19" s="1">
        <f t="shared" si="3"/>
        <v>13</v>
      </c>
    </row>
    <row r="20" spans="3:15" x14ac:dyDescent="0.25">
      <c r="C20" s="1" t="s">
        <v>120</v>
      </c>
      <c r="D20" s="1"/>
      <c r="E20" s="1">
        <v>25</v>
      </c>
      <c r="F20" s="34">
        <f t="shared" si="0"/>
        <v>32.5</v>
      </c>
      <c r="H20" s="1">
        <v>1</v>
      </c>
      <c r="I20" s="1">
        <f t="shared" si="2"/>
        <v>32.5</v>
      </c>
      <c r="K20" s="1">
        <f>H20</f>
        <v>1</v>
      </c>
      <c r="L20" s="1">
        <f t="shared" si="1"/>
        <v>32.5</v>
      </c>
      <c r="N20" s="1">
        <v>0</v>
      </c>
      <c r="O20" s="1">
        <f t="shared" si="3"/>
        <v>0</v>
      </c>
    </row>
    <row r="21" spans="3:15" x14ac:dyDescent="0.25">
      <c r="C21" s="1" t="s">
        <v>121</v>
      </c>
      <c r="D21" s="1"/>
      <c r="E21" s="1">
        <v>45</v>
      </c>
      <c r="F21" s="34">
        <f t="shared" si="0"/>
        <v>58.5</v>
      </c>
      <c r="H21" s="1">
        <v>0</v>
      </c>
      <c r="I21" s="1">
        <f t="shared" si="2"/>
        <v>0</v>
      </c>
      <c r="K21" s="1">
        <f>H21</f>
        <v>0</v>
      </c>
      <c r="L21" s="1">
        <f t="shared" si="1"/>
        <v>0</v>
      </c>
      <c r="N21" s="1">
        <f>K21+1</f>
        <v>1</v>
      </c>
      <c r="O21" s="1">
        <f t="shared" si="3"/>
        <v>58.5</v>
      </c>
    </row>
    <row r="22" spans="3:15" x14ac:dyDescent="0.25">
      <c r="C22" s="1"/>
      <c r="D22" s="1"/>
      <c r="E22" s="1"/>
      <c r="F22" s="34"/>
      <c r="H22" s="1"/>
      <c r="I22" s="1"/>
      <c r="K22" s="1"/>
      <c r="L22" s="1"/>
      <c r="N22" s="1"/>
      <c r="O22" s="1"/>
    </row>
    <row r="23" spans="3:15" x14ac:dyDescent="0.25">
      <c r="C23" s="3" t="s">
        <v>122</v>
      </c>
      <c r="D23" s="1"/>
      <c r="E23" s="1"/>
      <c r="F23" s="34">
        <f>E23</f>
        <v>0</v>
      </c>
      <c r="H23" s="1"/>
      <c r="I23" s="1">
        <f t="shared" ref="I23:I45" si="6">F23*H23</f>
        <v>0</v>
      </c>
      <c r="K23" s="1">
        <f>H23</f>
        <v>0</v>
      </c>
      <c r="L23" s="1">
        <f t="shared" ref="L23:L45" si="7">F23*K23</f>
        <v>0</v>
      </c>
      <c r="N23" s="1">
        <f>K23</f>
        <v>0</v>
      </c>
      <c r="O23" s="1">
        <f t="shared" ref="O23:O45" si="8">F23*N23</f>
        <v>0</v>
      </c>
    </row>
    <row r="24" spans="3:15" x14ac:dyDescent="0.25">
      <c r="C24" s="1" t="s">
        <v>123</v>
      </c>
      <c r="D24" s="1"/>
      <c r="E24" s="1">
        <v>2</v>
      </c>
      <c r="F24" s="34">
        <v>3</v>
      </c>
      <c r="H24" s="1">
        <v>1</v>
      </c>
      <c r="I24" s="1">
        <f t="shared" si="6"/>
        <v>3</v>
      </c>
      <c r="K24" s="1">
        <f>H24</f>
        <v>1</v>
      </c>
      <c r="L24" s="1">
        <f t="shared" si="7"/>
        <v>3</v>
      </c>
      <c r="N24" s="1">
        <v>2</v>
      </c>
      <c r="O24" s="1">
        <f t="shared" si="8"/>
        <v>6</v>
      </c>
    </row>
    <row r="25" spans="3:15" x14ac:dyDescent="0.25">
      <c r="C25" s="1" t="s">
        <v>124</v>
      </c>
      <c r="D25" s="1" t="s">
        <v>125</v>
      </c>
      <c r="E25" s="1">
        <v>1</v>
      </c>
      <c r="F25" s="34">
        <f t="shared" ref="F25:F45" si="9">E25</f>
        <v>1</v>
      </c>
      <c r="H25" s="1">
        <v>15</v>
      </c>
      <c r="I25" s="1">
        <f t="shared" si="6"/>
        <v>15</v>
      </c>
      <c r="K25" s="1">
        <v>20</v>
      </c>
      <c r="L25" s="1">
        <f t="shared" si="7"/>
        <v>20</v>
      </c>
      <c r="N25" s="1">
        <v>35</v>
      </c>
      <c r="O25" s="1">
        <f t="shared" si="8"/>
        <v>35</v>
      </c>
    </row>
    <row r="26" spans="3:15" ht="15" customHeight="1" x14ac:dyDescent="0.25">
      <c r="C26" s="35" t="s">
        <v>126</v>
      </c>
      <c r="D26" s="1"/>
      <c r="E26" s="1">
        <v>1</v>
      </c>
      <c r="F26" s="34">
        <f t="shared" si="9"/>
        <v>1</v>
      </c>
      <c r="H26" s="1">
        <v>15</v>
      </c>
      <c r="I26" s="1">
        <f t="shared" si="6"/>
        <v>15</v>
      </c>
      <c r="K26" s="1">
        <v>20</v>
      </c>
      <c r="L26" s="1">
        <f t="shared" si="7"/>
        <v>20</v>
      </c>
      <c r="N26" s="1">
        <v>35</v>
      </c>
      <c r="O26" s="1">
        <f t="shared" si="8"/>
        <v>35</v>
      </c>
    </row>
    <row r="27" spans="3:15" x14ac:dyDescent="0.25">
      <c r="C27" s="35" t="s">
        <v>127</v>
      </c>
      <c r="D27" s="1"/>
      <c r="E27" s="1">
        <v>1</v>
      </c>
      <c r="F27" s="34">
        <f t="shared" si="9"/>
        <v>1</v>
      </c>
      <c r="H27" s="1">
        <v>5</v>
      </c>
      <c r="I27" s="1">
        <f t="shared" si="6"/>
        <v>5</v>
      </c>
      <c r="K27" s="1">
        <v>10</v>
      </c>
      <c r="L27" s="1">
        <f t="shared" si="7"/>
        <v>10</v>
      </c>
      <c r="N27" s="1">
        <f t="shared" ref="N27:N45" si="10">K27</f>
        <v>10</v>
      </c>
      <c r="O27" s="1">
        <f t="shared" si="8"/>
        <v>10</v>
      </c>
    </row>
    <row r="28" spans="3:15" x14ac:dyDescent="0.25">
      <c r="C28" s="35" t="s">
        <v>128</v>
      </c>
      <c r="D28" s="1"/>
      <c r="E28" s="1">
        <v>1</v>
      </c>
      <c r="F28" s="34">
        <f t="shared" si="9"/>
        <v>1</v>
      </c>
      <c r="H28" s="1">
        <v>5</v>
      </c>
      <c r="I28" s="1">
        <f t="shared" si="6"/>
        <v>5</v>
      </c>
      <c r="K28" s="1">
        <v>10</v>
      </c>
      <c r="L28" s="1">
        <f t="shared" si="7"/>
        <v>10</v>
      </c>
      <c r="N28" s="1">
        <f t="shared" si="10"/>
        <v>10</v>
      </c>
      <c r="O28" s="1">
        <f t="shared" si="8"/>
        <v>10</v>
      </c>
    </row>
    <row r="29" spans="3:15" x14ac:dyDescent="0.25">
      <c r="C29" s="35" t="s">
        <v>129</v>
      </c>
      <c r="D29" s="1"/>
      <c r="E29" s="1">
        <v>1</v>
      </c>
      <c r="F29" s="34">
        <f t="shared" si="9"/>
        <v>1</v>
      </c>
      <c r="H29" s="1">
        <v>5</v>
      </c>
      <c r="I29" s="1">
        <f t="shared" si="6"/>
        <v>5</v>
      </c>
      <c r="K29" s="1">
        <v>10</v>
      </c>
      <c r="L29" s="1">
        <f t="shared" si="7"/>
        <v>10</v>
      </c>
      <c r="N29" s="1">
        <f t="shared" si="10"/>
        <v>10</v>
      </c>
      <c r="O29" s="1">
        <f t="shared" si="8"/>
        <v>10</v>
      </c>
    </row>
    <row r="30" spans="3:15" x14ac:dyDescent="0.25">
      <c r="C30" s="1" t="s">
        <v>130</v>
      </c>
      <c r="D30" s="1"/>
      <c r="E30" s="1">
        <v>0.5</v>
      </c>
      <c r="F30" s="34">
        <f t="shared" si="9"/>
        <v>0.5</v>
      </c>
      <c r="H30" s="1">
        <v>10</v>
      </c>
      <c r="I30" s="1">
        <f t="shared" si="6"/>
        <v>5</v>
      </c>
      <c r="K30" s="1">
        <f>H30</f>
        <v>10</v>
      </c>
      <c r="L30" s="1">
        <f t="shared" si="7"/>
        <v>5</v>
      </c>
      <c r="N30" s="1">
        <f t="shared" si="10"/>
        <v>10</v>
      </c>
      <c r="O30" s="1">
        <f t="shared" si="8"/>
        <v>5</v>
      </c>
    </row>
    <row r="31" spans="3:15" x14ac:dyDescent="0.25">
      <c r="C31" s="1" t="s">
        <v>131</v>
      </c>
      <c r="D31" s="1"/>
      <c r="E31" s="1">
        <v>0.5</v>
      </c>
      <c r="F31" s="34">
        <f t="shared" si="9"/>
        <v>0.5</v>
      </c>
      <c r="H31" s="1">
        <v>35</v>
      </c>
      <c r="I31" s="1">
        <f t="shared" si="6"/>
        <v>17.5</v>
      </c>
      <c r="K31" s="1">
        <v>40</v>
      </c>
      <c r="L31" s="1">
        <f t="shared" si="7"/>
        <v>20</v>
      </c>
      <c r="N31" s="1">
        <f t="shared" si="10"/>
        <v>40</v>
      </c>
      <c r="O31" s="1">
        <f t="shared" si="8"/>
        <v>20</v>
      </c>
    </row>
    <row r="32" spans="3:15" x14ac:dyDescent="0.25">
      <c r="C32" s="1" t="s">
        <v>132</v>
      </c>
      <c r="D32" s="1"/>
      <c r="E32" s="1">
        <v>0.5</v>
      </c>
      <c r="F32" s="34">
        <f t="shared" si="9"/>
        <v>0.5</v>
      </c>
      <c r="H32" s="1">
        <v>5</v>
      </c>
      <c r="I32" s="1">
        <f t="shared" si="6"/>
        <v>2.5</v>
      </c>
      <c r="K32" s="1">
        <f t="shared" ref="K32:K45" si="11">H32</f>
        <v>5</v>
      </c>
      <c r="L32" s="1">
        <f t="shared" si="7"/>
        <v>2.5</v>
      </c>
      <c r="N32" s="1">
        <v>10</v>
      </c>
      <c r="O32" s="1">
        <f t="shared" si="8"/>
        <v>5</v>
      </c>
    </row>
    <row r="33" spans="3:15" x14ac:dyDescent="0.25">
      <c r="C33" s="1" t="s">
        <v>133</v>
      </c>
      <c r="D33" s="1"/>
      <c r="E33" s="1">
        <v>0.5</v>
      </c>
      <c r="F33" s="34">
        <f t="shared" si="9"/>
        <v>0.5</v>
      </c>
      <c r="H33" s="1">
        <v>10</v>
      </c>
      <c r="I33" s="1">
        <f t="shared" si="6"/>
        <v>5</v>
      </c>
      <c r="K33" s="1">
        <f t="shared" si="11"/>
        <v>10</v>
      </c>
      <c r="L33" s="1">
        <f t="shared" si="7"/>
        <v>5</v>
      </c>
      <c r="N33" s="1">
        <f t="shared" si="10"/>
        <v>10</v>
      </c>
      <c r="O33" s="1">
        <f t="shared" si="8"/>
        <v>5</v>
      </c>
    </row>
    <row r="34" spans="3:15" x14ac:dyDescent="0.25">
      <c r="C34" s="1" t="s">
        <v>134</v>
      </c>
      <c r="D34" s="1"/>
      <c r="E34" s="1">
        <v>2.5</v>
      </c>
      <c r="F34" s="34">
        <f t="shared" si="9"/>
        <v>2.5</v>
      </c>
      <c r="H34" s="1">
        <v>2</v>
      </c>
      <c r="I34" s="1">
        <f t="shared" si="6"/>
        <v>5</v>
      </c>
      <c r="K34" s="1">
        <f t="shared" si="11"/>
        <v>2</v>
      </c>
      <c r="L34" s="1">
        <f t="shared" si="7"/>
        <v>5</v>
      </c>
      <c r="N34" s="1">
        <v>10</v>
      </c>
      <c r="O34" s="1">
        <f t="shared" si="8"/>
        <v>25</v>
      </c>
    </row>
    <row r="35" spans="3:15" x14ac:dyDescent="0.25">
      <c r="C35" s="1" t="s">
        <v>135</v>
      </c>
      <c r="D35" s="1" t="s">
        <v>136</v>
      </c>
      <c r="E35" s="1">
        <v>4.5</v>
      </c>
      <c r="F35" s="34">
        <f t="shared" si="9"/>
        <v>4.5</v>
      </c>
      <c r="H35" s="1">
        <v>2</v>
      </c>
      <c r="I35" s="1">
        <f t="shared" si="6"/>
        <v>9</v>
      </c>
      <c r="K35" s="1">
        <f t="shared" si="11"/>
        <v>2</v>
      </c>
      <c r="L35" s="1">
        <f t="shared" si="7"/>
        <v>9</v>
      </c>
      <c r="N35" s="1">
        <v>10</v>
      </c>
      <c r="O35" s="1">
        <f t="shared" si="8"/>
        <v>45</v>
      </c>
    </row>
    <row r="36" spans="3:15" x14ac:dyDescent="0.25">
      <c r="C36" s="1" t="s">
        <v>137</v>
      </c>
      <c r="D36" s="1"/>
      <c r="E36" s="1">
        <v>1</v>
      </c>
      <c r="F36" s="34">
        <f t="shared" si="9"/>
        <v>1</v>
      </c>
      <c r="H36" s="1">
        <v>5</v>
      </c>
      <c r="I36" s="1">
        <f t="shared" si="6"/>
        <v>5</v>
      </c>
      <c r="K36" s="1">
        <f t="shared" si="11"/>
        <v>5</v>
      </c>
      <c r="L36" s="1">
        <f t="shared" si="7"/>
        <v>5</v>
      </c>
      <c r="N36" s="1">
        <v>10</v>
      </c>
      <c r="O36" s="1">
        <f t="shared" si="8"/>
        <v>10</v>
      </c>
    </row>
    <row r="37" spans="3:15" x14ac:dyDescent="0.25">
      <c r="C37" s="1" t="s">
        <v>138</v>
      </c>
      <c r="D37" s="1"/>
      <c r="E37" s="1">
        <v>5</v>
      </c>
      <c r="F37" s="34">
        <f t="shared" si="9"/>
        <v>5</v>
      </c>
      <c r="H37" s="1">
        <v>2</v>
      </c>
      <c r="I37" s="1">
        <f t="shared" si="6"/>
        <v>10</v>
      </c>
      <c r="K37" s="1">
        <f t="shared" si="11"/>
        <v>2</v>
      </c>
      <c r="L37" s="1">
        <f t="shared" si="7"/>
        <v>10</v>
      </c>
      <c r="N37" s="1">
        <v>5</v>
      </c>
      <c r="O37" s="1">
        <f t="shared" si="8"/>
        <v>25</v>
      </c>
    </row>
    <row r="38" spans="3:15" x14ac:dyDescent="0.25">
      <c r="C38" s="1" t="s">
        <v>139</v>
      </c>
      <c r="D38" s="1"/>
      <c r="E38" s="1">
        <v>5</v>
      </c>
      <c r="F38" s="34">
        <f t="shared" si="9"/>
        <v>5</v>
      </c>
      <c r="H38" s="1">
        <v>1</v>
      </c>
      <c r="I38" s="1">
        <f t="shared" si="6"/>
        <v>5</v>
      </c>
      <c r="K38" s="1">
        <f t="shared" si="11"/>
        <v>1</v>
      </c>
      <c r="L38" s="1">
        <f t="shared" si="7"/>
        <v>5</v>
      </c>
      <c r="N38" s="1">
        <v>3</v>
      </c>
      <c r="O38" s="1">
        <f t="shared" si="8"/>
        <v>15</v>
      </c>
    </row>
    <row r="39" spans="3:15" x14ac:dyDescent="0.25">
      <c r="C39" s="1" t="s">
        <v>140</v>
      </c>
      <c r="D39" s="1"/>
      <c r="E39" s="1">
        <v>6</v>
      </c>
      <c r="F39" s="34">
        <f t="shared" si="9"/>
        <v>6</v>
      </c>
      <c r="H39" s="1">
        <v>1</v>
      </c>
      <c r="I39" s="1">
        <f t="shared" si="6"/>
        <v>6</v>
      </c>
      <c r="K39" s="1">
        <f t="shared" si="11"/>
        <v>1</v>
      </c>
      <c r="L39" s="1">
        <f t="shared" si="7"/>
        <v>6</v>
      </c>
      <c r="N39" s="1">
        <v>3</v>
      </c>
      <c r="O39" s="1">
        <f t="shared" si="8"/>
        <v>18</v>
      </c>
    </row>
    <row r="40" spans="3:15" x14ac:dyDescent="0.25">
      <c r="C40" s="1" t="s">
        <v>141</v>
      </c>
      <c r="D40" s="1"/>
      <c r="E40" s="1">
        <v>0.25</v>
      </c>
      <c r="F40" s="34">
        <f t="shared" si="9"/>
        <v>0.25</v>
      </c>
      <c r="H40" s="1">
        <v>24</v>
      </c>
      <c r="I40" s="1">
        <f t="shared" si="6"/>
        <v>6</v>
      </c>
      <c r="K40" s="1">
        <f t="shared" si="11"/>
        <v>24</v>
      </c>
      <c r="L40" s="1">
        <f t="shared" si="7"/>
        <v>6</v>
      </c>
      <c r="N40" s="1">
        <f t="shared" si="10"/>
        <v>24</v>
      </c>
      <c r="O40" s="1">
        <f t="shared" si="8"/>
        <v>6</v>
      </c>
    </row>
    <row r="41" spans="3:15" x14ac:dyDescent="0.25">
      <c r="C41" s="1" t="s">
        <v>142</v>
      </c>
      <c r="D41" s="1"/>
      <c r="E41" s="1">
        <v>1</v>
      </c>
      <c r="F41" s="34">
        <f t="shared" si="9"/>
        <v>1</v>
      </c>
      <c r="H41" s="1">
        <v>2</v>
      </c>
      <c r="I41" s="1">
        <f t="shared" si="6"/>
        <v>2</v>
      </c>
      <c r="K41" s="1">
        <f t="shared" si="11"/>
        <v>2</v>
      </c>
      <c r="L41" s="1">
        <f t="shared" si="7"/>
        <v>2</v>
      </c>
      <c r="N41" s="1">
        <v>3</v>
      </c>
      <c r="O41" s="1">
        <f t="shared" si="8"/>
        <v>3</v>
      </c>
    </row>
    <row r="42" spans="3:15" x14ac:dyDescent="0.25">
      <c r="C42" s="1" t="s">
        <v>143</v>
      </c>
      <c r="D42" s="1"/>
      <c r="E42" s="1">
        <v>2</v>
      </c>
      <c r="F42" s="34">
        <f t="shared" si="9"/>
        <v>2</v>
      </c>
      <c r="H42" s="1">
        <v>2</v>
      </c>
      <c r="I42" s="1">
        <f t="shared" si="6"/>
        <v>4</v>
      </c>
      <c r="K42" s="1">
        <f t="shared" si="11"/>
        <v>2</v>
      </c>
      <c r="L42" s="1">
        <f t="shared" si="7"/>
        <v>4</v>
      </c>
      <c r="N42" s="1">
        <v>3</v>
      </c>
      <c r="O42" s="1">
        <f t="shared" si="8"/>
        <v>6</v>
      </c>
    </row>
    <row r="43" spans="3:15" x14ac:dyDescent="0.25">
      <c r="C43" s="1" t="s">
        <v>144</v>
      </c>
      <c r="D43" s="1"/>
      <c r="E43" s="1">
        <v>1</v>
      </c>
      <c r="F43" s="34">
        <f t="shared" si="9"/>
        <v>1</v>
      </c>
      <c r="H43" s="1">
        <v>2</v>
      </c>
      <c r="I43" s="1">
        <f t="shared" si="6"/>
        <v>2</v>
      </c>
      <c r="K43" s="1">
        <f t="shared" si="11"/>
        <v>2</v>
      </c>
      <c r="L43" s="1">
        <f t="shared" si="7"/>
        <v>2</v>
      </c>
      <c r="N43" s="1">
        <v>3</v>
      </c>
      <c r="O43" s="1">
        <f t="shared" si="8"/>
        <v>3</v>
      </c>
    </row>
    <row r="44" spans="3:15" x14ac:dyDescent="0.25">
      <c r="C44" s="1" t="s">
        <v>145</v>
      </c>
      <c r="D44" s="1"/>
      <c r="E44" s="1">
        <v>2</v>
      </c>
      <c r="F44" s="34">
        <f t="shared" si="9"/>
        <v>2</v>
      </c>
      <c r="H44" s="1">
        <v>2</v>
      </c>
      <c r="I44" s="1">
        <f t="shared" si="6"/>
        <v>4</v>
      </c>
      <c r="K44" s="1">
        <f t="shared" si="11"/>
        <v>2</v>
      </c>
      <c r="L44" s="1">
        <f t="shared" si="7"/>
        <v>4</v>
      </c>
      <c r="N44" s="1">
        <v>3</v>
      </c>
      <c r="O44" s="1">
        <f t="shared" si="8"/>
        <v>6</v>
      </c>
    </row>
    <row r="45" spans="3:15" ht="17.25" thickBot="1" x14ac:dyDescent="0.3">
      <c r="C45" s="1"/>
      <c r="D45" s="1"/>
      <c r="E45" s="1"/>
      <c r="F45" s="34">
        <f t="shared" si="9"/>
        <v>0</v>
      </c>
      <c r="H45" s="1"/>
      <c r="I45" s="28">
        <f t="shared" si="6"/>
        <v>0</v>
      </c>
      <c r="K45" s="1">
        <f t="shared" si="11"/>
        <v>0</v>
      </c>
      <c r="L45" s="28">
        <f t="shared" si="7"/>
        <v>0</v>
      </c>
      <c r="N45" s="1">
        <f t="shared" si="10"/>
        <v>0</v>
      </c>
      <c r="O45" s="28">
        <f t="shared" si="8"/>
        <v>0</v>
      </c>
    </row>
    <row r="46" spans="3:15" ht="17.25" thickBot="1" x14ac:dyDescent="0.3">
      <c r="I46" s="11">
        <f>SUM(I5:I45)</f>
        <v>206.85</v>
      </c>
      <c r="L46" s="11">
        <f>SUM(L5:L45)</f>
        <v>455.35</v>
      </c>
      <c r="O46" s="11">
        <f>SUM(O5:O45)</f>
        <v>983.55</v>
      </c>
    </row>
  </sheetData>
  <mergeCells count="3">
    <mergeCell ref="H2:I2"/>
    <mergeCell ref="K2:L2"/>
    <mergeCell ref="N2:O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18F7-724A-42A8-A654-890C430BAD2A}">
  <dimension ref="A1:N89"/>
  <sheetViews>
    <sheetView topLeftCell="A70" workbookViewId="0">
      <selection activeCell="N87" sqref="N87"/>
    </sheetView>
  </sheetViews>
  <sheetFormatPr defaultRowHeight="16.5" x14ac:dyDescent="0.25"/>
  <cols>
    <col min="1" max="1" width="15.85546875" customWidth="1"/>
    <col min="2" max="2" width="11.140625" customWidth="1"/>
    <col min="3" max="3" width="37.85546875" customWidth="1"/>
  </cols>
  <sheetData>
    <row r="1" spans="1:14" ht="21" x14ac:dyDescent="0.25">
      <c r="A1" s="62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3"/>
    </row>
    <row r="2" spans="1:14" ht="17.25" thickBot="1" x14ac:dyDescent="0.3"/>
    <row r="3" spans="1:14" ht="17.25" thickBot="1" x14ac:dyDescent="0.3">
      <c r="A3" s="11" t="s">
        <v>22</v>
      </c>
      <c r="B3" s="13" t="s">
        <v>23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</row>
    <row r="4" spans="1:14" ht="17.25" thickBot="1" x14ac:dyDescent="0.3"/>
    <row r="5" spans="1:14" ht="17.25" thickBot="1" x14ac:dyDescent="0.3">
      <c r="A5" s="36" t="s">
        <v>24</v>
      </c>
      <c r="G5" s="58" t="s">
        <v>0</v>
      </c>
      <c r="H5" s="59"/>
      <c r="J5" s="58" t="s">
        <v>1</v>
      </c>
      <c r="K5" s="59"/>
      <c r="M5" s="60" t="s">
        <v>25</v>
      </c>
      <c r="N5" s="61"/>
    </row>
    <row r="6" spans="1:14" x14ac:dyDescent="0.25">
      <c r="C6" s="1" t="s">
        <v>26</v>
      </c>
      <c r="D6" s="1" t="s">
        <v>2</v>
      </c>
      <c r="E6" s="1" t="s">
        <v>3</v>
      </c>
      <c r="G6" s="2" t="s">
        <v>4</v>
      </c>
      <c r="H6" s="2" t="s">
        <v>5</v>
      </c>
      <c r="J6" s="2" t="s">
        <v>4</v>
      </c>
      <c r="K6" s="2" t="s">
        <v>5</v>
      </c>
      <c r="M6" s="2" t="s">
        <v>4</v>
      </c>
      <c r="N6" s="21" t="s">
        <v>5</v>
      </c>
    </row>
    <row r="9" spans="1:14" x14ac:dyDescent="0.25">
      <c r="C9" s="3" t="s">
        <v>26</v>
      </c>
      <c r="D9" s="1"/>
      <c r="E9" s="1"/>
      <c r="G9" s="1"/>
      <c r="H9" s="1"/>
      <c r="J9" s="1"/>
      <c r="K9" s="1"/>
      <c r="M9" s="1"/>
      <c r="N9" s="1"/>
    </row>
    <row r="10" spans="1:14" x14ac:dyDescent="0.25">
      <c r="B10" s="17" t="s">
        <v>146</v>
      </c>
      <c r="C10" s="1" t="s">
        <v>147</v>
      </c>
      <c r="D10" s="1"/>
      <c r="E10" s="1">
        <v>28</v>
      </c>
      <c r="G10" s="1">
        <v>1</v>
      </c>
      <c r="H10" s="1">
        <f>G10*E10</f>
        <v>28</v>
      </c>
      <c r="J10" s="1">
        <v>1</v>
      </c>
      <c r="K10" s="1">
        <f>J10*E10</f>
        <v>28</v>
      </c>
      <c r="M10" s="1">
        <v>1</v>
      </c>
      <c r="N10" s="1">
        <f>M10*E10</f>
        <v>28</v>
      </c>
    </row>
    <row r="11" spans="1:14" x14ac:dyDescent="0.25">
      <c r="C11" s="1" t="s">
        <v>148</v>
      </c>
      <c r="D11" s="1"/>
      <c r="E11" s="1">
        <v>0.5</v>
      </c>
      <c r="G11" s="1">
        <v>1</v>
      </c>
      <c r="H11" s="1">
        <f t="shared" ref="H11:H39" si="0">G11*E11</f>
        <v>0.5</v>
      </c>
      <c r="J11" s="1">
        <f>G11</f>
        <v>1</v>
      </c>
      <c r="K11" s="1">
        <f t="shared" ref="K11:K39" si="1">J11*E11</f>
        <v>0.5</v>
      </c>
      <c r="M11" s="1">
        <v>8</v>
      </c>
      <c r="N11" s="1">
        <f t="shared" ref="N11:N39" si="2">M11*E11</f>
        <v>4</v>
      </c>
    </row>
    <row r="12" spans="1:14" x14ac:dyDescent="0.25">
      <c r="C12" s="1" t="s">
        <v>69</v>
      </c>
      <c r="D12" s="1"/>
      <c r="E12" s="1">
        <v>35</v>
      </c>
      <c r="G12" s="1"/>
      <c r="H12" s="1">
        <f t="shared" si="0"/>
        <v>0</v>
      </c>
      <c r="J12" s="1"/>
      <c r="K12" s="1">
        <f t="shared" si="1"/>
        <v>0</v>
      </c>
      <c r="M12" s="1">
        <v>1</v>
      </c>
      <c r="N12" s="1">
        <f t="shared" si="2"/>
        <v>35</v>
      </c>
    </row>
    <row r="13" spans="1:14" x14ac:dyDescent="0.25">
      <c r="C13" s="1" t="s">
        <v>71</v>
      </c>
      <c r="D13" s="1"/>
      <c r="E13" s="1">
        <v>130</v>
      </c>
      <c r="G13" s="1"/>
      <c r="H13" s="1">
        <f t="shared" si="0"/>
        <v>0</v>
      </c>
      <c r="J13" s="1"/>
      <c r="K13" s="1">
        <f t="shared" si="1"/>
        <v>0</v>
      </c>
      <c r="M13" s="1">
        <v>1</v>
      </c>
      <c r="N13" s="1">
        <f t="shared" si="2"/>
        <v>130</v>
      </c>
    </row>
    <row r="14" spans="1:14" x14ac:dyDescent="0.25">
      <c r="C14" s="1"/>
      <c r="D14" s="1"/>
      <c r="E14" s="1"/>
      <c r="G14" s="1"/>
      <c r="H14" s="1">
        <f t="shared" si="0"/>
        <v>0</v>
      </c>
      <c r="J14" s="1"/>
      <c r="K14" s="1">
        <f t="shared" si="1"/>
        <v>0</v>
      </c>
      <c r="M14" s="1"/>
      <c r="N14" s="1">
        <f>M14*E14</f>
        <v>0</v>
      </c>
    </row>
    <row r="15" spans="1:14" x14ac:dyDescent="0.25">
      <c r="C15" s="1"/>
      <c r="D15" s="1"/>
      <c r="E15" s="1"/>
      <c r="G15" s="1"/>
      <c r="H15" s="1">
        <f t="shared" si="0"/>
        <v>0</v>
      </c>
      <c r="J15" s="1"/>
      <c r="K15" s="1">
        <f t="shared" si="1"/>
        <v>0</v>
      </c>
      <c r="M15" s="1"/>
      <c r="N15" s="1">
        <f t="shared" si="2"/>
        <v>0</v>
      </c>
    </row>
    <row r="16" spans="1:14" x14ac:dyDescent="0.25">
      <c r="C16" s="1" t="s">
        <v>149</v>
      </c>
      <c r="D16" s="1"/>
      <c r="E16" s="1">
        <v>3</v>
      </c>
      <c r="G16" s="1">
        <v>2</v>
      </c>
      <c r="H16" s="1">
        <f t="shared" si="0"/>
        <v>6</v>
      </c>
      <c r="J16" s="1">
        <f>G16</f>
        <v>2</v>
      </c>
      <c r="K16" s="1">
        <f t="shared" si="1"/>
        <v>6</v>
      </c>
      <c r="M16" s="1">
        <v>6</v>
      </c>
      <c r="N16" s="1">
        <f t="shared" si="2"/>
        <v>18</v>
      </c>
    </row>
    <row r="17" spans="3:14" x14ac:dyDescent="0.25">
      <c r="C17" s="1" t="s">
        <v>31</v>
      </c>
      <c r="D17" s="1"/>
      <c r="E17" s="1">
        <v>20</v>
      </c>
      <c r="G17" s="1">
        <v>0</v>
      </c>
      <c r="H17" s="1">
        <f t="shared" si="0"/>
        <v>0</v>
      </c>
      <c r="J17" s="1">
        <v>1</v>
      </c>
      <c r="K17" s="1">
        <f t="shared" si="1"/>
        <v>20</v>
      </c>
      <c r="M17" s="1">
        <v>1</v>
      </c>
      <c r="N17" s="1">
        <f t="shared" si="2"/>
        <v>20</v>
      </c>
    </row>
    <row r="18" spans="3:14" x14ac:dyDescent="0.25">
      <c r="C18" s="1" t="s">
        <v>150</v>
      </c>
      <c r="D18" s="1"/>
      <c r="E18" s="1">
        <v>80</v>
      </c>
      <c r="G18" s="1">
        <v>0</v>
      </c>
      <c r="H18" s="1">
        <f t="shared" si="0"/>
        <v>0</v>
      </c>
      <c r="J18" s="1">
        <v>1</v>
      </c>
      <c r="K18" s="1">
        <f t="shared" si="1"/>
        <v>80</v>
      </c>
      <c r="M18" s="1">
        <v>0</v>
      </c>
      <c r="N18" s="1">
        <f t="shared" si="2"/>
        <v>0</v>
      </c>
    </row>
    <row r="19" spans="3:14" x14ac:dyDescent="0.25">
      <c r="C19" s="1" t="s">
        <v>151</v>
      </c>
      <c r="D19" s="1"/>
      <c r="E19" s="1">
        <v>4</v>
      </c>
      <c r="G19" s="1">
        <v>1</v>
      </c>
      <c r="H19" s="1">
        <f t="shared" si="0"/>
        <v>4</v>
      </c>
      <c r="J19" s="1">
        <f>G19</f>
        <v>1</v>
      </c>
      <c r="K19" s="1">
        <f t="shared" si="1"/>
        <v>4</v>
      </c>
      <c r="M19" s="1">
        <v>1</v>
      </c>
      <c r="N19" s="1">
        <f t="shared" si="2"/>
        <v>4</v>
      </c>
    </row>
    <row r="20" spans="3:14" x14ac:dyDescent="0.25">
      <c r="C20" s="3" t="s">
        <v>152</v>
      </c>
      <c r="D20" s="1"/>
      <c r="E20" s="1"/>
      <c r="G20" s="1"/>
      <c r="H20" s="1">
        <f t="shared" si="0"/>
        <v>0</v>
      </c>
      <c r="J20" s="1">
        <f>G20</f>
        <v>0</v>
      </c>
      <c r="K20" s="1">
        <f t="shared" si="1"/>
        <v>0</v>
      </c>
      <c r="M20" s="1"/>
      <c r="N20" s="1">
        <f t="shared" si="2"/>
        <v>0</v>
      </c>
    </row>
    <row r="21" spans="3:14" x14ac:dyDescent="0.25">
      <c r="C21" s="1" t="s">
        <v>153</v>
      </c>
      <c r="D21" s="1"/>
      <c r="E21" s="1">
        <v>1</v>
      </c>
      <c r="G21" s="1">
        <v>5</v>
      </c>
      <c r="H21" s="1">
        <f t="shared" si="0"/>
        <v>5</v>
      </c>
      <c r="J21" s="1">
        <f>G21</f>
        <v>5</v>
      </c>
      <c r="K21" s="1">
        <f t="shared" si="1"/>
        <v>5</v>
      </c>
      <c r="M21" s="1">
        <f>J21</f>
        <v>5</v>
      </c>
      <c r="N21" s="1">
        <f t="shared" si="2"/>
        <v>5</v>
      </c>
    </row>
    <row r="22" spans="3:14" x14ac:dyDescent="0.25">
      <c r="C22" s="1" t="s">
        <v>154</v>
      </c>
      <c r="D22" s="1"/>
      <c r="E22" s="1">
        <v>5</v>
      </c>
      <c r="G22" s="1">
        <v>2</v>
      </c>
      <c r="H22" s="1">
        <f t="shared" si="0"/>
        <v>10</v>
      </c>
      <c r="J22" s="1">
        <v>5</v>
      </c>
      <c r="K22" s="1">
        <f t="shared" si="1"/>
        <v>25</v>
      </c>
      <c r="M22" s="1">
        <f t="shared" ref="M22:M39" si="3">J22</f>
        <v>5</v>
      </c>
      <c r="N22" s="1">
        <f t="shared" si="2"/>
        <v>25</v>
      </c>
    </row>
    <row r="23" spans="3:14" x14ac:dyDescent="0.25">
      <c r="C23" s="1" t="s">
        <v>155</v>
      </c>
      <c r="D23" s="1"/>
      <c r="E23" s="1">
        <v>0.25</v>
      </c>
      <c r="G23" s="1">
        <v>10</v>
      </c>
      <c r="H23" s="1">
        <f t="shared" si="0"/>
        <v>2.5</v>
      </c>
      <c r="J23" s="1">
        <f>G23</f>
        <v>10</v>
      </c>
      <c r="K23" s="1">
        <f t="shared" si="1"/>
        <v>2.5</v>
      </c>
      <c r="M23" s="1">
        <v>20</v>
      </c>
      <c r="N23" s="1">
        <f t="shared" si="2"/>
        <v>5</v>
      </c>
    </row>
    <row r="24" spans="3:14" x14ac:dyDescent="0.25">
      <c r="C24" s="1" t="s">
        <v>156</v>
      </c>
      <c r="D24" s="1"/>
      <c r="E24" s="1">
        <v>0.25</v>
      </c>
      <c r="G24" s="1">
        <v>10</v>
      </c>
      <c r="H24" s="1">
        <f t="shared" si="0"/>
        <v>2.5</v>
      </c>
      <c r="J24" s="1">
        <f>G24</f>
        <v>10</v>
      </c>
      <c r="K24" s="1">
        <f t="shared" si="1"/>
        <v>2.5</v>
      </c>
      <c r="M24" s="1">
        <v>20</v>
      </c>
      <c r="N24" s="1">
        <f t="shared" si="2"/>
        <v>5</v>
      </c>
    </row>
    <row r="25" spans="3:14" x14ac:dyDescent="0.25">
      <c r="C25" s="1" t="s">
        <v>157</v>
      </c>
      <c r="D25" s="1"/>
      <c r="E25" s="1">
        <v>0.5</v>
      </c>
      <c r="G25" s="1">
        <v>10</v>
      </c>
      <c r="H25" s="1">
        <f t="shared" si="0"/>
        <v>5</v>
      </c>
      <c r="J25" s="1">
        <f>G25</f>
        <v>10</v>
      </c>
      <c r="K25" s="1">
        <f t="shared" si="1"/>
        <v>5</v>
      </c>
      <c r="M25" s="1">
        <f t="shared" si="3"/>
        <v>10</v>
      </c>
      <c r="N25" s="1">
        <f t="shared" si="2"/>
        <v>5</v>
      </c>
    </row>
    <row r="26" spans="3:14" x14ac:dyDescent="0.25">
      <c r="C26" s="1" t="s">
        <v>158</v>
      </c>
      <c r="D26" s="1"/>
      <c r="E26" s="1">
        <v>2</v>
      </c>
      <c r="G26" s="1">
        <v>3</v>
      </c>
      <c r="H26" s="1">
        <f t="shared" si="0"/>
        <v>6</v>
      </c>
      <c r="J26" s="1">
        <v>5</v>
      </c>
      <c r="K26" s="1">
        <f t="shared" si="1"/>
        <v>10</v>
      </c>
      <c r="M26" s="1">
        <v>10</v>
      </c>
      <c r="N26" s="1">
        <f t="shared" si="2"/>
        <v>20</v>
      </c>
    </row>
    <row r="27" spans="3:14" x14ac:dyDescent="0.25">
      <c r="C27" s="1" t="s">
        <v>159</v>
      </c>
      <c r="D27" s="1"/>
      <c r="E27" s="1">
        <v>1.5</v>
      </c>
      <c r="G27" s="1">
        <v>5</v>
      </c>
      <c r="H27" s="1">
        <f t="shared" si="0"/>
        <v>7.5</v>
      </c>
      <c r="J27" s="1">
        <v>10</v>
      </c>
      <c r="K27" s="1">
        <f t="shared" si="1"/>
        <v>15</v>
      </c>
      <c r="M27" s="1">
        <f t="shared" si="3"/>
        <v>10</v>
      </c>
      <c r="N27" s="1">
        <f t="shared" si="2"/>
        <v>15</v>
      </c>
    </row>
    <row r="28" spans="3:14" x14ac:dyDescent="0.25">
      <c r="C28" s="1" t="s">
        <v>160</v>
      </c>
      <c r="D28" s="1"/>
      <c r="E28" s="1">
        <v>2</v>
      </c>
      <c r="G28" s="1">
        <v>5</v>
      </c>
      <c r="H28" s="1">
        <f t="shared" si="0"/>
        <v>10</v>
      </c>
      <c r="J28" s="1">
        <v>10</v>
      </c>
      <c r="K28" s="1">
        <f t="shared" si="1"/>
        <v>20</v>
      </c>
      <c r="M28" s="1">
        <f t="shared" si="3"/>
        <v>10</v>
      </c>
      <c r="N28" s="1">
        <f t="shared" si="2"/>
        <v>20</v>
      </c>
    </row>
    <row r="29" spans="3:14" x14ac:dyDescent="0.25">
      <c r="C29" s="1" t="s">
        <v>161</v>
      </c>
      <c r="D29" s="1"/>
      <c r="E29" s="1">
        <v>2</v>
      </c>
      <c r="G29" s="1">
        <v>3</v>
      </c>
      <c r="H29" s="1">
        <f t="shared" si="0"/>
        <v>6</v>
      </c>
      <c r="J29" s="1">
        <v>5</v>
      </c>
      <c r="K29" s="1">
        <f t="shared" si="1"/>
        <v>10</v>
      </c>
      <c r="M29" s="1">
        <v>10</v>
      </c>
      <c r="N29" s="1">
        <f>M29*E29</f>
        <v>20</v>
      </c>
    </row>
    <row r="30" spans="3:14" x14ac:dyDescent="0.25">
      <c r="C30" s="1" t="s">
        <v>162</v>
      </c>
      <c r="D30" s="1"/>
      <c r="E30" s="1">
        <v>1</v>
      </c>
      <c r="G30" s="1">
        <v>3</v>
      </c>
      <c r="H30" s="1">
        <f t="shared" si="0"/>
        <v>3</v>
      </c>
      <c r="J30" s="1">
        <v>5</v>
      </c>
      <c r="K30" s="1">
        <f t="shared" si="1"/>
        <v>5</v>
      </c>
      <c r="M30" s="1">
        <v>10</v>
      </c>
      <c r="N30" s="1">
        <f t="shared" si="2"/>
        <v>10</v>
      </c>
    </row>
    <row r="31" spans="3:14" x14ac:dyDescent="0.25">
      <c r="C31" s="1" t="s">
        <v>163</v>
      </c>
      <c r="D31" s="1" t="s">
        <v>164</v>
      </c>
      <c r="E31" s="1">
        <v>3</v>
      </c>
      <c r="G31" s="1">
        <v>10</v>
      </c>
      <c r="H31" s="1">
        <f t="shared" si="0"/>
        <v>30</v>
      </c>
      <c r="J31" s="1">
        <v>20</v>
      </c>
      <c r="K31" s="1">
        <f t="shared" si="1"/>
        <v>60</v>
      </c>
      <c r="M31" s="1">
        <v>40</v>
      </c>
      <c r="N31" s="1">
        <f t="shared" si="2"/>
        <v>120</v>
      </c>
    </row>
    <row r="32" spans="3:14" x14ac:dyDescent="0.25">
      <c r="C32" s="1" t="s">
        <v>165</v>
      </c>
      <c r="D32" s="1" t="s">
        <v>166</v>
      </c>
      <c r="E32" s="1">
        <v>3</v>
      </c>
      <c r="G32" s="1">
        <v>10</v>
      </c>
      <c r="H32" s="1">
        <f t="shared" si="0"/>
        <v>30</v>
      </c>
      <c r="J32" s="1">
        <v>20</v>
      </c>
      <c r="K32" s="1">
        <f t="shared" si="1"/>
        <v>60</v>
      </c>
      <c r="M32" s="1">
        <v>40</v>
      </c>
      <c r="N32" s="1">
        <f t="shared" si="2"/>
        <v>120</v>
      </c>
    </row>
    <row r="33" spans="3:14" x14ac:dyDescent="0.25">
      <c r="C33" s="1" t="s">
        <v>167</v>
      </c>
      <c r="D33" s="1"/>
      <c r="E33" s="1">
        <v>0.5</v>
      </c>
      <c r="G33" s="1">
        <v>4</v>
      </c>
      <c r="H33" s="1">
        <f t="shared" si="0"/>
        <v>2</v>
      </c>
      <c r="J33" s="1">
        <f>G33</f>
        <v>4</v>
      </c>
      <c r="K33" s="1">
        <f t="shared" si="1"/>
        <v>2</v>
      </c>
      <c r="M33" s="1">
        <f t="shared" si="3"/>
        <v>4</v>
      </c>
      <c r="N33" s="1">
        <f>M33*E33</f>
        <v>2</v>
      </c>
    </row>
    <row r="34" spans="3:14" x14ac:dyDescent="0.25">
      <c r="C34" s="1" t="s">
        <v>168</v>
      </c>
      <c r="D34" s="1"/>
      <c r="E34" s="1">
        <v>3</v>
      </c>
      <c r="G34" s="1">
        <v>3</v>
      </c>
      <c r="H34" s="1">
        <f t="shared" si="0"/>
        <v>9</v>
      </c>
      <c r="J34" s="1">
        <v>5</v>
      </c>
      <c r="K34" s="1">
        <f t="shared" si="1"/>
        <v>15</v>
      </c>
      <c r="M34" s="1">
        <v>10</v>
      </c>
      <c r="N34" s="1">
        <f t="shared" si="2"/>
        <v>30</v>
      </c>
    </row>
    <row r="35" spans="3:14" x14ac:dyDescent="0.25">
      <c r="C35" s="1" t="s">
        <v>169</v>
      </c>
      <c r="D35" s="1"/>
      <c r="E35" s="1">
        <v>2</v>
      </c>
      <c r="G35" s="1">
        <v>2</v>
      </c>
      <c r="H35" s="1">
        <f t="shared" si="0"/>
        <v>4</v>
      </c>
      <c r="J35" s="1">
        <f>G35</f>
        <v>2</v>
      </c>
      <c r="K35" s="1">
        <f t="shared" si="1"/>
        <v>4</v>
      </c>
      <c r="M35" s="1">
        <f t="shared" si="3"/>
        <v>2</v>
      </c>
      <c r="N35" s="1">
        <f t="shared" si="2"/>
        <v>4</v>
      </c>
    </row>
    <row r="36" spans="3:14" x14ac:dyDescent="0.25">
      <c r="C36" s="1" t="s">
        <v>170</v>
      </c>
      <c r="D36" s="1"/>
      <c r="E36" s="1">
        <v>3</v>
      </c>
      <c r="G36" s="1">
        <v>2</v>
      </c>
      <c r="H36" s="1">
        <f t="shared" si="0"/>
        <v>6</v>
      </c>
      <c r="J36" s="1">
        <v>5</v>
      </c>
      <c r="K36" s="1">
        <f t="shared" si="1"/>
        <v>15</v>
      </c>
      <c r="M36" s="1">
        <f t="shared" si="3"/>
        <v>5</v>
      </c>
      <c r="N36" s="1">
        <f t="shared" si="2"/>
        <v>15</v>
      </c>
    </row>
    <row r="37" spans="3:14" x14ac:dyDescent="0.25">
      <c r="C37" s="1" t="s">
        <v>171</v>
      </c>
      <c r="D37" s="1"/>
      <c r="E37" s="1">
        <v>0.5</v>
      </c>
      <c r="G37" s="1">
        <v>5</v>
      </c>
      <c r="H37" s="1">
        <f t="shared" si="0"/>
        <v>2.5</v>
      </c>
      <c r="J37" s="1">
        <v>5</v>
      </c>
      <c r="K37" s="1">
        <f t="shared" si="1"/>
        <v>2.5</v>
      </c>
      <c r="M37" s="1">
        <f t="shared" si="3"/>
        <v>5</v>
      </c>
      <c r="N37" s="1">
        <f t="shared" si="2"/>
        <v>2.5</v>
      </c>
    </row>
    <row r="38" spans="3:14" x14ac:dyDescent="0.25">
      <c r="C38" s="1" t="s">
        <v>172</v>
      </c>
      <c r="D38" s="1"/>
      <c r="E38" s="1">
        <v>1</v>
      </c>
      <c r="G38" s="1">
        <v>5</v>
      </c>
      <c r="H38" s="1">
        <f t="shared" si="0"/>
        <v>5</v>
      </c>
      <c r="J38" s="1">
        <v>5</v>
      </c>
      <c r="K38" s="1">
        <f t="shared" si="1"/>
        <v>5</v>
      </c>
      <c r="M38" s="1">
        <f t="shared" si="3"/>
        <v>5</v>
      </c>
      <c r="N38" s="1">
        <f t="shared" si="2"/>
        <v>5</v>
      </c>
    </row>
    <row r="39" spans="3:14" x14ac:dyDescent="0.25">
      <c r="C39" s="1" t="s">
        <v>173</v>
      </c>
      <c r="D39" s="1"/>
      <c r="E39" s="1">
        <v>2</v>
      </c>
      <c r="G39" s="1">
        <v>5</v>
      </c>
      <c r="H39" s="1">
        <f t="shared" si="0"/>
        <v>10</v>
      </c>
      <c r="J39" s="1">
        <f>G39</f>
        <v>5</v>
      </c>
      <c r="K39" s="1">
        <f t="shared" si="1"/>
        <v>10</v>
      </c>
      <c r="M39" s="1">
        <f t="shared" si="3"/>
        <v>5</v>
      </c>
      <c r="N39" s="1">
        <f t="shared" si="2"/>
        <v>10</v>
      </c>
    </row>
    <row r="40" spans="3:14" x14ac:dyDescent="0.25">
      <c r="H40" s="1">
        <f>SUM(H9:H39)</f>
        <v>194.5</v>
      </c>
      <c r="K40" s="1">
        <f>SUM(K9:K39)</f>
        <v>412</v>
      </c>
      <c r="M40" s="1"/>
      <c r="N40" s="1">
        <f>SUM(N9:N39)</f>
        <v>677.5</v>
      </c>
    </row>
    <row r="43" spans="3:14" x14ac:dyDescent="0.25">
      <c r="M43" s="64"/>
      <c r="N43" s="64"/>
    </row>
    <row r="44" spans="3:14" x14ac:dyDescent="0.25">
      <c r="C44" s="1" t="s">
        <v>26</v>
      </c>
      <c r="D44" s="1" t="s">
        <v>2</v>
      </c>
      <c r="E44" s="1" t="s">
        <v>3</v>
      </c>
      <c r="G44" s="1"/>
      <c r="H44" s="1"/>
      <c r="J44" s="1"/>
      <c r="K44" s="1"/>
      <c r="M44" s="1"/>
      <c r="N44" s="1"/>
    </row>
    <row r="45" spans="3:14" x14ac:dyDescent="0.25">
      <c r="C45" s="1"/>
      <c r="D45" s="1"/>
      <c r="E45" s="1"/>
      <c r="G45" s="1"/>
      <c r="H45" s="1"/>
      <c r="J45" s="1"/>
      <c r="K45" s="1"/>
      <c r="M45" s="2"/>
      <c r="N45" s="2"/>
    </row>
    <row r="46" spans="3:14" x14ac:dyDescent="0.25">
      <c r="C46" s="1" t="s">
        <v>106</v>
      </c>
      <c r="D46" s="1"/>
      <c r="E46" s="1">
        <v>80</v>
      </c>
      <c r="G46" s="1"/>
      <c r="H46" s="1"/>
      <c r="J46" s="1"/>
      <c r="K46" s="1"/>
      <c r="M46" s="1">
        <v>0</v>
      </c>
      <c r="N46" s="1">
        <f>E46*M46</f>
        <v>0</v>
      </c>
    </row>
    <row r="47" spans="3:14" x14ac:dyDescent="0.25">
      <c r="C47" s="1" t="s">
        <v>107</v>
      </c>
      <c r="D47" s="1"/>
      <c r="E47" s="1">
        <v>250</v>
      </c>
      <c r="G47" s="1"/>
      <c r="H47" s="1"/>
      <c r="J47" s="1"/>
      <c r="K47" s="1"/>
      <c r="M47" s="1">
        <v>0</v>
      </c>
      <c r="N47" s="1">
        <f t="shared" ref="N47:N86" si="4">E47*M47</f>
        <v>0</v>
      </c>
    </row>
    <row r="48" spans="3:14" x14ac:dyDescent="0.25">
      <c r="C48" s="1" t="s">
        <v>108</v>
      </c>
      <c r="D48" s="1"/>
      <c r="E48" s="1">
        <v>65</v>
      </c>
      <c r="G48" s="1"/>
      <c r="H48" s="1"/>
      <c r="J48" s="1"/>
      <c r="K48" s="1"/>
      <c r="M48" s="1">
        <v>0</v>
      </c>
      <c r="N48" s="1">
        <f t="shared" si="4"/>
        <v>0</v>
      </c>
    </row>
    <row r="49" spans="3:14" x14ac:dyDescent="0.25">
      <c r="C49" s="1" t="s">
        <v>109</v>
      </c>
      <c r="D49" s="1"/>
      <c r="E49" s="1">
        <v>60</v>
      </c>
      <c r="G49" s="1"/>
      <c r="H49" s="1"/>
      <c r="J49" s="1"/>
      <c r="K49" s="1"/>
      <c r="M49" s="1">
        <v>0</v>
      </c>
      <c r="N49" s="1">
        <f t="shared" si="4"/>
        <v>0</v>
      </c>
    </row>
    <row r="50" spans="3:14" x14ac:dyDescent="0.25">
      <c r="C50" s="1" t="s">
        <v>110</v>
      </c>
      <c r="D50" s="1"/>
      <c r="E50" s="1">
        <v>30</v>
      </c>
      <c r="G50" s="1"/>
      <c r="H50" s="1"/>
      <c r="J50" s="1"/>
      <c r="K50" s="1"/>
      <c r="M50" s="1">
        <v>0</v>
      </c>
      <c r="N50" s="1">
        <f t="shared" si="4"/>
        <v>0</v>
      </c>
    </row>
    <row r="51" spans="3:14" x14ac:dyDescent="0.25">
      <c r="C51" s="1" t="s">
        <v>31</v>
      </c>
      <c r="D51" s="1"/>
      <c r="E51" s="1">
        <v>20</v>
      </c>
      <c r="G51" s="1"/>
      <c r="H51" s="1"/>
      <c r="J51" s="1"/>
      <c r="K51" s="1"/>
      <c r="M51" s="1">
        <v>0</v>
      </c>
      <c r="N51" s="1">
        <f t="shared" si="4"/>
        <v>0</v>
      </c>
    </row>
    <row r="52" spans="3:14" x14ac:dyDescent="0.25">
      <c r="C52" s="1" t="s">
        <v>111</v>
      </c>
      <c r="D52" s="1"/>
      <c r="E52" s="1">
        <v>10</v>
      </c>
      <c r="G52" s="1"/>
      <c r="H52" s="1"/>
      <c r="J52" s="1"/>
      <c r="K52" s="1"/>
      <c r="M52" s="1">
        <v>0</v>
      </c>
      <c r="N52" s="1">
        <f t="shared" si="4"/>
        <v>0</v>
      </c>
    </row>
    <row r="53" spans="3:14" x14ac:dyDescent="0.25">
      <c r="C53" s="1" t="s">
        <v>112</v>
      </c>
      <c r="D53" s="1"/>
      <c r="E53" s="1">
        <v>10</v>
      </c>
      <c r="G53" s="1"/>
      <c r="H53" s="1"/>
      <c r="J53" s="1"/>
      <c r="K53" s="1"/>
      <c r="M53" s="1">
        <v>1</v>
      </c>
      <c r="N53" s="1">
        <f t="shared" si="4"/>
        <v>10</v>
      </c>
    </row>
    <row r="54" spans="3:14" x14ac:dyDescent="0.25">
      <c r="C54" s="1" t="s">
        <v>113</v>
      </c>
      <c r="D54" s="1"/>
      <c r="E54" s="1">
        <v>5</v>
      </c>
      <c r="G54" s="1"/>
      <c r="H54" s="1"/>
      <c r="J54" s="1"/>
      <c r="K54" s="1"/>
      <c r="M54" s="1">
        <v>1</v>
      </c>
      <c r="N54" s="1">
        <f t="shared" si="4"/>
        <v>5</v>
      </c>
    </row>
    <row r="55" spans="3:14" x14ac:dyDescent="0.25">
      <c r="C55" s="1" t="s">
        <v>114</v>
      </c>
      <c r="D55" s="1"/>
      <c r="E55" s="1">
        <v>0.5</v>
      </c>
      <c r="G55" s="1"/>
      <c r="H55" s="1"/>
      <c r="J55" s="1"/>
      <c r="K55" s="1"/>
      <c r="M55" s="1">
        <v>1</v>
      </c>
      <c r="N55" s="1">
        <f t="shared" si="4"/>
        <v>0.5</v>
      </c>
    </row>
    <row r="56" spans="3:14" x14ac:dyDescent="0.25">
      <c r="C56" s="1" t="s">
        <v>115</v>
      </c>
      <c r="D56" s="1"/>
      <c r="E56" s="1">
        <v>0.5</v>
      </c>
      <c r="G56" s="1"/>
      <c r="H56" s="1"/>
      <c r="J56" s="1"/>
      <c r="K56" s="1"/>
      <c r="M56" s="1">
        <v>2</v>
      </c>
      <c r="N56" s="1">
        <f t="shared" si="4"/>
        <v>1</v>
      </c>
    </row>
    <row r="57" spans="3:14" x14ac:dyDescent="0.25">
      <c r="C57" s="1" t="s">
        <v>116</v>
      </c>
      <c r="D57" s="1"/>
      <c r="E57" s="1">
        <v>3</v>
      </c>
      <c r="G57" s="1"/>
      <c r="H57" s="1"/>
      <c r="J57" s="1"/>
      <c r="K57" s="1"/>
      <c r="M57" s="1">
        <v>1</v>
      </c>
      <c r="N57" s="1">
        <f t="shared" si="4"/>
        <v>3</v>
      </c>
    </row>
    <row r="58" spans="3:14" x14ac:dyDescent="0.25">
      <c r="C58" s="1" t="s">
        <v>117</v>
      </c>
      <c r="D58" s="1"/>
      <c r="E58" s="1">
        <v>5</v>
      </c>
      <c r="G58" s="1"/>
      <c r="H58" s="1"/>
      <c r="J58" s="1"/>
      <c r="K58" s="1"/>
      <c r="M58" s="1">
        <v>1</v>
      </c>
      <c r="N58" s="1">
        <f t="shared" si="4"/>
        <v>5</v>
      </c>
    </row>
    <row r="59" spans="3:14" x14ac:dyDescent="0.25">
      <c r="C59" s="1" t="s">
        <v>118</v>
      </c>
      <c r="D59" s="1"/>
      <c r="E59" s="1">
        <v>20</v>
      </c>
      <c r="G59" s="1"/>
      <c r="H59" s="1"/>
      <c r="J59" s="1"/>
      <c r="K59" s="1"/>
      <c r="M59" s="1">
        <v>0</v>
      </c>
      <c r="N59" s="1">
        <f t="shared" si="4"/>
        <v>0</v>
      </c>
    </row>
    <row r="60" spans="3:14" x14ac:dyDescent="0.25">
      <c r="C60" s="1" t="s">
        <v>119</v>
      </c>
      <c r="D60" s="1"/>
      <c r="E60" s="1">
        <v>5</v>
      </c>
      <c r="G60" s="1"/>
      <c r="H60" s="1"/>
      <c r="J60" s="1"/>
      <c r="K60" s="1"/>
      <c r="M60" s="1">
        <v>1</v>
      </c>
      <c r="N60" s="1">
        <f t="shared" si="4"/>
        <v>5</v>
      </c>
    </row>
    <row r="61" spans="3:14" x14ac:dyDescent="0.25">
      <c r="C61" s="1" t="s">
        <v>120</v>
      </c>
      <c r="D61" s="1"/>
      <c r="E61" s="1">
        <v>25</v>
      </c>
      <c r="G61" s="1"/>
      <c r="H61" s="1"/>
      <c r="J61" s="1"/>
      <c r="K61" s="1"/>
      <c r="M61" s="1">
        <v>1</v>
      </c>
      <c r="N61" s="1">
        <f t="shared" si="4"/>
        <v>25</v>
      </c>
    </row>
    <row r="62" spans="3:14" x14ac:dyDescent="0.25">
      <c r="C62" s="1" t="s">
        <v>121</v>
      </c>
      <c r="D62" s="1"/>
      <c r="E62" s="1">
        <v>45</v>
      </c>
      <c r="G62" s="1"/>
      <c r="H62" s="1"/>
      <c r="J62" s="1"/>
      <c r="K62" s="1"/>
      <c r="M62" s="1">
        <v>0</v>
      </c>
      <c r="N62" s="1">
        <f t="shared" si="4"/>
        <v>0</v>
      </c>
    </row>
    <row r="63" spans="3:14" x14ac:dyDescent="0.25">
      <c r="C63" s="1"/>
      <c r="D63" s="1"/>
      <c r="E63" s="1"/>
      <c r="G63" s="1"/>
      <c r="H63" s="1"/>
      <c r="J63" s="1"/>
      <c r="K63" s="1"/>
      <c r="M63" s="1"/>
      <c r="N63" s="1">
        <f t="shared" si="4"/>
        <v>0</v>
      </c>
    </row>
    <row r="64" spans="3:14" x14ac:dyDescent="0.25">
      <c r="C64" s="3" t="s">
        <v>122</v>
      </c>
      <c r="D64" s="1"/>
      <c r="E64" s="1"/>
      <c r="G64" s="1"/>
      <c r="H64" s="1"/>
      <c r="J64" s="1"/>
      <c r="K64" s="1"/>
      <c r="M64" s="1"/>
      <c r="N64" s="1">
        <f t="shared" si="4"/>
        <v>0</v>
      </c>
    </row>
    <row r="65" spans="3:14" x14ac:dyDescent="0.25">
      <c r="C65" s="1" t="s">
        <v>123</v>
      </c>
      <c r="D65" s="1"/>
      <c r="E65" s="1">
        <v>2</v>
      </c>
      <c r="G65" s="1"/>
      <c r="H65" s="1"/>
      <c r="J65" s="1"/>
      <c r="K65" s="1"/>
      <c r="M65" s="1">
        <v>1</v>
      </c>
      <c r="N65" s="1">
        <f t="shared" si="4"/>
        <v>2</v>
      </c>
    </row>
    <row r="66" spans="3:14" x14ac:dyDescent="0.25">
      <c r="C66" s="1" t="s">
        <v>124</v>
      </c>
      <c r="D66" s="1" t="s">
        <v>125</v>
      </c>
      <c r="E66" s="1">
        <v>1</v>
      </c>
      <c r="G66" s="1"/>
      <c r="H66" s="1"/>
      <c r="J66" s="1"/>
      <c r="K66" s="1"/>
      <c r="M66" s="1">
        <v>15</v>
      </c>
      <c r="N66" s="1">
        <f t="shared" si="4"/>
        <v>15</v>
      </c>
    </row>
    <row r="67" spans="3:14" x14ac:dyDescent="0.25">
      <c r="C67" s="35" t="s">
        <v>126</v>
      </c>
      <c r="D67" s="1"/>
      <c r="E67" s="1">
        <v>1</v>
      </c>
      <c r="G67" s="1"/>
      <c r="H67" s="1"/>
      <c r="J67" s="1"/>
      <c r="K67" s="1"/>
      <c r="M67" s="1">
        <v>15</v>
      </c>
      <c r="N67" s="1">
        <f t="shared" si="4"/>
        <v>15</v>
      </c>
    </row>
    <row r="68" spans="3:14" x14ac:dyDescent="0.25">
      <c r="C68" s="35" t="s">
        <v>127</v>
      </c>
      <c r="D68" s="1"/>
      <c r="E68" s="1">
        <v>1</v>
      </c>
      <c r="G68" s="1"/>
      <c r="H68" s="1"/>
      <c r="J68" s="1"/>
      <c r="K68" s="1"/>
      <c r="M68" s="1">
        <v>5</v>
      </c>
      <c r="N68" s="1">
        <f t="shared" si="4"/>
        <v>5</v>
      </c>
    </row>
    <row r="69" spans="3:14" x14ac:dyDescent="0.25">
      <c r="C69" s="35" t="s">
        <v>128</v>
      </c>
      <c r="D69" s="1"/>
      <c r="E69" s="1">
        <v>1</v>
      </c>
      <c r="G69" s="1"/>
      <c r="H69" s="1"/>
      <c r="J69" s="1"/>
      <c r="K69" s="1"/>
      <c r="M69" s="1">
        <v>5</v>
      </c>
      <c r="N69" s="1">
        <f t="shared" si="4"/>
        <v>5</v>
      </c>
    </row>
    <row r="70" spans="3:14" x14ac:dyDescent="0.25">
      <c r="C70" s="35" t="s">
        <v>129</v>
      </c>
      <c r="D70" s="1"/>
      <c r="E70" s="1">
        <v>1</v>
      </c>
      <c r="G70" s="1"/>
      <c r="H70" s="1"/>
      <c r="J70" s="1"/>
      <c r="K70" s="1"/>
      <c r="M70" s="1">
        <v>5</v>
      </c>
      <c r="N70" s="1">
        <f t="shared" si="4"/>
        <v>5</v>
      </c>
    </row>
    <row r="71" spans="3:14" x14ac:dyDescent="0.25">
      <c r="C71" s="1" t="s">
        <v>130</v>
      </c>
      <c r="D71" s="1"/>
      <c r="E71" s="1">
        <v>0.5</v>
      </c>
      <c r="G71" s="1"/>
      <c r="H71" s="1"/>
      <c r="J71" s="1"/>
      <c r="K71" s="1"/>
      <c r="M71" s="1">
        <v>10</v>
      </c>
      <c r="N71" s="1">
        <f t="shared" si="4"/>
        <v>5</v>
      </c>
    </row>
    <row r="72" spans="3:14" x14ac:dyDescent="0.25">
      <c r="C72" s="1" t="s">
        <v>131</v>
      </c>
      <c r="D72" s="1"/>
      <c r="E72" s="1">
        <v>0.5</v>
      </c>
      <c r="G72" s="1"/>
      <c r="H72" s="1"/>
      <c r="J72" s="1"/>
      <c r="K72" s="1"/>
      <c r="M72" s="1">
        <v>35</v>
      </c>
      <c r="N72" s="1">
        <f t="shared" si="4"/>
        <v>17.5</v>
      </c>
    </row>
    <row r="73" spans="3:14" x14ac:dyDescent="0.25">
      <c r="C73" s="1" t="s">
        <v>132</v>
      </c>
      <c r="D73" s="1"/>
      <c r="E73" s="1">
        <v>0.5</v>
      </c>
      <c r="G73" s="1"/>
      <c r="H73" s="1"/>
      <c r="J73" s="1"/>
      <c r="K73" s="1"/>
      <c r="M73" s="1">
        <v>5</v>
      </c>
      <c r="N73" s="1">
        <f t="shared" si="4"/>
        <v>2.5</v>
      </c>
    </row>
    <row r="74" spans="3:14" x14ac:dyDescent="0.25">
      <c r="C74" s="1" t="s">
        <v>133</v>
      </c>
      <c r="D74" s="1"/>
      <c r="E74" s="1">
        <v>0.5</v>
      </c>
      <c r="G74" s="1"/>
      <c r="H74" s="1"/>
      <c r="J74" s="1"/>
      <c r="K74" s="1"/>
      <c r="M74" s="1">
        <v>10</v>
      </c>
      <c r="N74" s="1">
        <f t="shared" si="4"/>
        <v>5</v>
      </c>
    </row>
    <row r="75" spans="3:14" x14ac:dyDescent="0.25">
      <c r="C75" s="1" t="s">
        <v>134</v>
      </c>
      <c r="D75" s="1"/>
      <c r="E75" s="1">
        <v>2.5</v>
      </c>
      <c r="G75" s="1"/>
      <c r="H75" s="1"/>
      <c r="J75" s="1"/>
      <c r="K75" s="1"/>
      <c r="M75" s="1">
        <v>2</v>
      </c>
      <c r="N75" s="1">
        <f t="shared" si="4"/>
        <v>5</v>
      </c>
    </row>
    <row r="76" spans="3:14" x14ac:dyDescent="0.25">
      <c r="C76" s="1" t="s">
        <v>135</v>
      </c>
      <c r="D76" s="1" t="s">
        <v>136</v>
      </c>
      <c r="E76" s="1">
        <v>4.5</v>
      </c>
      <c r="G76" s="1"/>
      <c r="H76" s="1"/>
      <c r="J76" s="1"/>
      <c r="K76" s="1"/>
      <c r="M76" s="1">
        <v>2</v>
      </c>
      <c r="N76" s="1">
        <f t="shared" si="4"/>
        <v>9</v>
      </c>
    </row>
    <row r="77" spans="3:14" x14ac:dyDescent="0.25">
      <c r="C77" s="1" t="s">
        <v>137</v>
      </c>
      <c r="D77" s="1"/>
      <c r="E77" s="1">
        <v>1</v>
      </c>
      <c r="G77" s="1"/>
      <c r="H77" s="1"/>
      <c r="J77" s="1"/>
      <c r="K77" s="1"/>
      <c r="M77" s="1">
        <v>5</v>
      </c>
      <c r="N77" s="1">
        <f t="shared" si="4"/>
        <v>5</v>
      </c>
    </row>
    <row r="78" spans="3:14" x14ac:dyDescent="0.25">
      <c r="C78" s="1" t="s">
        <v>138</v>
      </c>
      <c r="D78" s="1"/>
      <c r="E78" s="1">
        <v>5</v>
      </c>
      <c r="G78" s="1"/>
      <c r="H78" s="1"/>
      <c r="J78" s="1"/>
      <c r="K78" s="1"/>
      <c r="M78" s="1">
        <v>2</v>
      </c>
      <c r="N78" s="1">
        <f t="shared" si="4"/>
        <v>10</v>
      </c>
    </row>
    <row r="79" spans="3:14" x14ac:dyDescent="0.25">
      <c r="C79" s="1" t="s">
        <v>139</v>
      </c>
      <c r="D79" s="1"/>
      <c r="E79" s="1">
        <v>5</v>
      </c>
      <c r="G79" s="1"/>
      <c r="H79" s="1"/>
      <c r="J79" s="1"/>
      <c r="K79" s="1"/>
      <c r="M79" s="1">
        <v>2</v>
      </c>
      <c r="N79" s="1">
        <f t="shared" si="4"/>
        <v>10</v>
      </c>
    </row>
    <row r="80" spans="3:14" x14ac:dyDescent="0.25">
      <c r="C80" s="1" t="s">
        <v>140</v>
      </c>
      <c r="D80" s="1"/>
      <c r="E80" s="1">
        <v>6</v>
      </c>
      <c r="G80" s="1"/>
      <c r="H80" s="1"/>
      <c r="J80" s="1"/>
      <c r="K80" s="1"/>
      <c r="M80" s="1">
        <v>2</v>
      </c>
      <c r="N80" s="1">
        <f t="shared" si="4"/>
        <v>12</v>
      </c>
    </row>
    <row r="81" spans="3:14" x14ac:dyDescent="0.25">
      <c r="C81" s="1" t="s">
        <v>141</v>
      </c>
      <c r="D81" s="1"/>
      <c r="E81" s="1">
        <v>0.25</v>
      </c>
      <c r="G81" s="1"/>
      <c r="H81" s="1"/>
      <c r="J81" s="1"/>
      <c r="K81" s="1"/>
      <c r="M81" s="1">
        <v>24</v>
      </c>
      <c r="N81" s="1">
        <f t="shared" si="4"/>
        <v>6</v>
      </c>
    </row>
    <row r="82" spans="3:14" x14ac:dyDescent="0.25">
      <c r="C82" s="1" t="s">
        <v>142</v>
      </c>
      <c r="D82" s="1"/>
      <c r="E82" s="1">
        <v>1</v>
      </c>
      <c r="G82" s="1"/>
      <c r="H82" s="1"/>
      <c r="J82" s="1"/>
      <c r="K82" s="1"/>
      <c r="M82" s="1">
        <v>2</v>
      </c>
      <c r="N82" s="1">
        <f t="shared" si="4"/>
        <v>2</v>
      </c>
    </row>
    <row r="83" spans="3:14" x14ac:dyDescent="0.25">
      <c r="C83" s="1" t="s">
        <v>143</v>
      </c>
      <c r="D83" s="1"/>
      <c r="E83" s="1">
        <v>2</v>
      </c>
      <c r="G83" s="1"/>
      <c r="H83" s="1"/>
      <c r="J83" s="1"/>
      <c r="K83" s="1"/>
      <c r="M83" s="1">
        <v>2</v>
      </c>
      <c r="N83" s="1">
        <f t="shared" si="4"/>
        <v>4</v>
      </c>
    </row>
    <row r="84" spans="3:14" x14ac:dyDescent="0.25">
      <c r="C84" s="1" t="s">
        <v>144</v>
      </c>
      <c r="D84" s="1"/>
      <c r="E84" s="1">
        <v>1</v>
      </c>
      <c r="G84" s="1"/>
      <c r="H84" s="1"/>
      <c r="J84" s="1"/>
      <c r="K84" s="1"/>
      <c r="M84" s="1">
        <v>2</v>
      </c>
      <c r="N84" s="1">
        <f t="shared" si="4"/>
        <v>2</v>
      </c>
    </row>
    <row r="85" spans="3:14" x14ac:dyDescent="0.25">
      <c r="C85" s="1" t="s">
        <v>145</v>
      </c>
      <c r="D85" s="1"/>
      <c r="E85" s="1">
        <v>2</v>
      </c>
      <c r="G85" s="1"/>
      <c r="H85" s="1"/>
      <c r="J85" s="1"/>
      <c r="K85" s="1"/>
      <c r="M85" s="1">
        <v>2</v>
      </c>
      <c r="N85" s="1">
        <f t="shared" si="4"/>
        <v>4</v>
      </c>
    </row>
    <row r="86" spans="3:14" ht="17.25" thickBot="1" x14ac:dyDescent="0.3">
      <c r="C86" s="1"/>
      <c r="D86" s="1"/>
      <c r="E86" s="1"/>
      <c r="G86" s="1"/>
      <c r="H86" s="1"/>
      <c r="J86" s="1"/>
      <c r="K86" s="1"/>
      <c r="M86" s="1"/>
      <c r="N86" s="28">
        <f t="shared" si="4"/>
        <v>0</v>
      </c>
    </row>
    <row r="87" spans="3:14" ht="17.25" thickBot="1" x14ac:dyDescent="0.3">
      <c r="N87" s="11">
        <f>SUM(N46:N86)</f>
        <v>200.5</v>
      </c>
    </row>
    <row r="89" spans="3:14" x14ac:dyDescent="0.25">
      <c r="N89">
        <f>N87+N40</f>
        <v>878</v>
      </c>
    </row>
  </sheetData>
  <mergeCells count="5">
    <mergeCell ref="A1:N1"/>
    <mergeCell ref="G5:H5"/>
    <mergeCell ref="J5:K5"/>
    <mergeCell ref="M5:N5"/>
    <mergeCell ref="M43:N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5518-5ECC-40D9-90C6-75A7D8FEFF1C}">
  <dimension ref="A1:Q37"/>
  <sheetViews>
    <sheetView topLeftCell="D1" workbookViewId="0">
      <selection activeCell="G9" sqref="G9"/>
    </sheetView>
  </sheetViews>
  <sheetFormatPr defaultRowHeight="16.5" x14ac:dyDescent="0.25"/>
  <cols>
    <col min="3" max="3" width="48.140625" customWidth="1"/>
    <col min="4" max="4" width="35.28515625" customWidth="1"/>
  </cols>
  <sheetData>
    <row r="1" spans="1:16" x14ac:dyDescent="0.25">
      <c r="A1" s="17" t="s">
        <v>228</v>
      </c>
      <c r="B1" s="17"/>
      <c r="C1" s="17" t="s">
        <v>415</v>
      </c>
    </row>
    <row r="2" spans="1:16" x14ac:dyDescent="0.25">
      <c r="A2" s="17" t="s">
        <v>225</v>
      </c>
      <c r="B2" s="17"/>
      <c r="C2" s="17" t="s">
        <v>468</v>
      </c>
      <c r="D2" t="s">
        <v>175</v>
      </c>
    </row>
    <row r="3" spans="1:16" x14ac:dyDescent="0.25">
      <c r="A3" s="17"/>
      <c r="B3" s="17"/>
      <c r="C3" s="17" t="s">
        <v>469</v>
      </c>
    </row>
    <row r="4" spans="1:16" x14ac:dyDescent="0.25">
      <c r="A4" s="17"/>
      <c r="B4" s="17"/>
    </row>
    <row r="5" spans="1:16" ht="17.25" thickBot="1" x14ac:dyDescent="0.3"/>
    <row r="6" spans="1:16" ht="17.25" thickBot="1" x14ac:dyDescent="0.3">
      <c r="A6" s="7" t="s">
        <v>416</v>
      </c>
      <c r="B6" s="17"/>
      <c r="C6" s="38"/>
      <c r="D6" s="17" t="s">
        <v>187</v>
      </c>
      <c r="E6" s="39">
        <v>0.4</v>
      </c>
      <c r="G6" s="45" t="s">
        <v>475</v>
      </c>
      <c r="H6" s="12" t="s">
        <v>476</v>
      </c>
      <c r="I6" s="13"/>
      <c r="J6" s="43" t="s">
        <v>477</v>
      </c>
      <c r="L6" s="47" t="s">
        <v>434</v>
      </c>
      <c r="M6" s="48"/>
      <c r="O6" s="47" t="s">
        <v>432</v>
      </c>
      <c r="P6" s="48"/>
    </row>
    <row r="7" spans="1:16" x14ac:dyDescent="0.25">
      <c r="B7" s="7" t="s">
        <v>361</v>
      </c>
      <c r="C7" s="7" t="s">
        <v>186</v>
      </c>
      <c r="D7" s="7" t="s">
        <v>181</v>
      </c>
      <c r="E7" s="7" t="s">
        <v>3</v>
      </c>
      <c r="G7" s="18" t="s">
        <v>4</v>
      </c>
      <c r="H7" s="18" t="s">
        <v>5</v>
      </c>
      <c r="I7" s="18"/>
      <c r="J7" s="18"/>
      <c r="L7" s="18" t="s">
        <v>4</v>
      </c>
      <c r="M7" s="18" t="s">
        <v>5</v>
      </c>
      <c r="O7" s="18" t="s">
        <v>4</v>
      </c>
      <c r="P7" s="18" t="s">
        <v>5</v>
      </c>
    </row>
    <row r="8" spans="1:16" x14ac:dyDescent="0.25">
      <c r="B8" s="1"/>
      <c r="C8" s="7"/>
      <c r="D8" s="7"/>
      <c r="E8" s="7"/>
      <c r="G8" s="18"/>
      <c r="H8" s="18"/>
      <c r="I8" s="7"/>
      <c r="J8" s="7"/>
      <c r="L8" s="18"/>
      <c r="M8" s="18"/>
      <c r="O8" s="18"/>
      <c r="P8" s="18"/>
    </row>
    <row r="9" spans="1:16" x14ac:dyDescent="0.25">
      <c r="A9" s="37"/>
      <c r="B9" s="41"/>
      <c r="C9" s="17" t="s">
        <v>472</v>
      </c>
      <c r="D9" s="1"/>
      <c r="E9" s="1"/>
      <c r="G9" s="1"/>
      <c r="H9" s="1"/>
      <c r="I9" s="1"/>
      <c r="J9" s="1"/>
      <c r="L9" s="1"/>
      <c r="M9" s="1"/>
      <c r="O9" s="1"/>
      <c r="P9" s="1"/>
    </row>
    <row r="10" spans="1:16" x14ac:dyDescent="0.25">
      <c r="A10" s="37"/>
      <c r="B10" s="41"/>
      <c r="C10" s="1" t="s">
        <v>471</v>
      </c>
      <c r="D10" s="1" t="s">
        <v>462</v>
      </c>
      <c r="E10" s="1">
        <v>80</v>
      </c>
      <c r="G10" s="1">
        <v>1</v>
      </c>
      <c r="H10" s="1">
        <v>80</v>
      </c>
      <c r="I10" s="1"/>
      <c r="J10" s="1"/>
      <c r="L10" s="1"/>
      <c r="M10" s="1"/>
      <c r="O10" s="1"/>
      <c r="P10" s="1"/>
    </row>
    <row r="11" spans="1:16" x14ac:dyDescent="0.25">
      <c r="A11" s="37"/>
      <c r="B11" s="41"/>
      <c r="C11" s="1" t="s">
        <v>471</v>
      </c>
      <c r="D11" s="1" t="s">
        <v>463</v>
      </c>
      <c r="E11" s="1">
        <v>80</v>
      </c>
      <c r="G11" s="1">
        <v>1</v>
      </c>
      <c r="H11" s="1"/>
      <c r="I11" s="1"/>
      <c r="J11" s="1"/>
      <c r="L11" s="1"/>
      <c r="M11" s="1"/>
      <c r="O11" s="1"/>
      <c r="P11" s="1"/>
    </row>
    <row r="12" spans="1:16" x14ac:dyDescent="0.25">
      <c r="A12" s="37"/>
      <c r="B12" s="41"/>
      <c r="C12" s="1" t="s">
        <v>471</v>
      </c>
      <c r="D12" s="1" t="s">
        <v>464</v>
      </c>
      <c r="E12" s="1">
        <v>80</v>
      </c>
      <c r="G12" s="1">
        <v>1</v>
      </c>
      <c r="H12" s="1"/>
      <c r="I12" s="1"/>
      <c r="J12" s="1"/>
      <c r="L12" s="1">
        <v>0</v>
      </c>
      <c r="M12" s="1">
        <f>L12*E12</f>
        <v>0</v>
      </c>
      <c r="O12" s="1">
        <v>1</v>
      </c>
      <c r="P12" s="1">
        <f>O12*E12</f>
        <v>80</v>
      </c>
    </row>
    <row r="13" spans="1:16" x14ac:dyDescent="0.25">
      <c r="A13" s="37"/>
      <c r="B13" s="41"/>
      <c r="C13" s="1" t="s">
        <v>467</v>
      </c>
      <c r="D13" s="1" t="s">
        <v>474</v>
      </c>
      <c r="E13" s="1">
        <v>80</v>
      </c>
      <c r="G13" s="1"/>
      <c r="H13" s="1"/>
      <c r="I13" s="1"/>
      <c r="J13" s="1"/>
      <c r="L13" s="1"/>
      <c r="M13" s="1"/>
      <c r="O13" s="1"/>
      <c r="P13" s="1"/>
    </row>
    <row r="14" spans="1:16" x14ac:dyDescent="0.25">
      <c r="A14" s="37"/>
      <c r="B14" s="41"/>
      <c r="C14" s="1" t="s">
        <v>470</v>
      </c>
      <c r="D14" s="1" t="s">
        <v>474</v>
      </c>
      <c r="E14" s="1">
        <v>80</v>
      </c>
      <c r="G14" s="1"/>
      <c r="H14" s="1"/>
      <c r="I14" s="1"/>
      <c r="J14" s="1"/>
      <c r="L14" s="1"/>
      <c r="M14" s="1"/>
      <c r="O14" s="1"/>
      <c r="P14" s="1"/>
    </row>
    <row r="15" spans="1:16" x14ac:dyDescent="0.25">
      <c r="A15" s="37"/>
      <c r="B15" s="41"/>
      <c r="C15" s="1" t="s">
        <v>466</v>
      </c>
      <c r="D15" s="1"/>
      <c r="E15" s="1">
        <v>300</v>
      </c>
      <c r="G15" s="1"/>
      <c r="H15" s="1"/>
      <c r="I15" s="1"/>
      <c r="J15" s="1"/>
      <c r="L15" s="1">
        <v>1</v>
      </c>
      <c r="M15" s="1">
        <v>300</v>
      </c>
      <c r="O15" s="1"/>
      <c r="P15" s="1"/>
    </row>
    <row r="16" spans="1:16" x14ac:dyDescent="0.25">
      <c r="A16" s="37"/>
      <c r="B16" s="41"/>
      <c r="C16" s="1" t="s">
        <v>465</v>
      </c>
      <c r="D16" s="1"/>
      <c r="E16" s="1">
        <v>300</v>
      </c>
      <c r="G16" s="1"/>
      <c r="H16" s="1"/>
      <c r="I16" s="1"/>
      <c r="J16" s="1"/>
      <c r="L16" s="1">
        <v>1</v>
      </c>
      <c r="M16" s="1"/>
      <c r="O16" s="1"/>
      <c r="P16" s="1"/>
    </row>
    <row r="17" spans="1:17" x14ac:dyDescent="0.25">
      <c r="A17" s="37"/>
      <c r="B17" s="41"/>
      <c r="C17" s="1"/>
      <c r="D17" s="1"/>
      <c r="E17" s="1"/>
      <c r="G17" s="1"/>
      <c r="H17" s="1"/>
      <c r="I17" s="1"/>
      <c r="J17" s="1"/>
      <c r="L17" s="1"/>
      <c r="M17" s="1"/>
      <c r="O17" s="1"/>
      <c r="P17" s="1"/>
    </row>
    <row r="18" spans="1:17" x14ac:dyDescent="0.25">
      <c r="A18" s="37"/>
      <c r="B18" s="41"/>
      <c r="C18" s="44" t="s">
        <v>473</v>
      </c>
      <c r="D18" s="1"/>
      <c r="E18" s="1"/>
      <c r="G18" s="1"/>
      <c r="H18" s="1"/>
      <c r="I18" s="1"/>
      <c r="J18" s="1"/>
      <c r="L18" s="1"/>
      <c r="M18" s="1"/>
      <c r="O18" s="1"/>
      <c r="P18" s="1"/>
    </row>
    <row r="19" spans="1:17" x14ac:dyDescent="0.25">
      <c r="A19" s="37"/>
      <c r="B19" s="41"/>
      <c r="C19" s="1" t="s">
        <v>460</v>
      </c>
      <c r="D19" s="1"/>
      <c r="E19" s="1">
        <v>140</v>
      </c>
      <c r="G19" s="1"/>
      <c r="H19" s="1"/>
      <c r="I19" s="1"/>
      <c r="J19" s="1"/>
      <c r="L19" s="1"/>
      <c r="M19" s="1"/>
      <c r="O19" s="1"/>
      <c r="P19" s="1"/>
    </row>
    <row r="20" spans="1:17" x14ac:dyDescent="0.25">
      <c r="A20" s="37"/>
      <c r="B20" s="41"/>
      <c r="C20" s="1" t="s">
        <v>461</v>
      </c>
      <c r="D20" s="1"/>
      <c r="E20" s="1"/>
      <c r="G20" s="1"/>
      <c r="H20" s="1"/>
      <c r="I20" s="1"/>
      <c r="J20" s="1"/>
      <c r="L20" s="1"/>
      <c r="M20" s="1"/>
      <c r="O20" s="1"/>
      <c r="P20" s="1"/>
    </row>
    <row r="21" spans="1:17" x14ac:dyDescent="0.25">
      <c r="A21" s="37"/>
      <c r="B21" s="41"/>
      <c r="C21" s="1" t="s">
        <v>453</v>
      </c>
      <c r="D21" s="1"/>
      <c r="E21" s="1">
        <v>65</v>
      </c>
      <c r="G21" s="1">
        <v>1</v>
      </c>
      <c r="H21" s="1">
        <v>65</v>
      </c>
      <c r="I21" s="1"/>
      <c r="J21" s="1"/>
      <c r="L21" s="1">
        <v>0</v>
      </c>
      <c r="M21" s="1">
        <f>L21*E21</f>
        <v>0</v>
      </c>
      <c r="O21" s="1">
        <v>0</v>
      </c>
      <c r="P21" s="1">
        <f>O21*E21</f>
        <v>0</v>
      </c>
    </row>
    <row r="22" spans="1:17" x14ac:dyDescent="0.25">
      <c r="A22" s="37"/>
      <c r="B22" s="41"/>
      <c r="C22" s="1" t="s">
        <v>454</v>
      </c>
      <c r="D22" s="1"/>
      <c r="E22" s="1"/>
      <c r="G22" s="1"/>
      <c r="H22" s="1"/>
      <c r="I22" s="1"/>
      <c r="J22" s="1"/>
      <c r="L22" s="1"/>
      <c r="M22" s="1"/>
      <c r="O22" s="1"/>
      <c r="P22" s="1"/>
    </row>
    <row r="23" spans="1:17" x14ac:dyDescent="0.25">
      <c r="A23" s="37"/>
      <c r="B23" s="41"/>
      <c r="C23" s="1" t="s">
        <v>445</v>
      </c>
      <c r="D23" s="1" t="s">
        <v>447</v>
      </c>
      <c r="E23" s="1">
        <v>2</v>
      </c>
      <c r="G23" s="1">
        <v>20</v>
      </c>
      <c r="H23" s="1">
        <f t="shared" ref="H23:H27" si="0">G23*E23</f>
        <v>40</v>
      </c>
      <c r="I23" s="1"/>
      <c r="J23" s="1"/>
      <c r="L23" s="1">
        <v>0</v>
      </c>
      <c r="M23" s="1">
        <f>L23*E23</f>
        <v>0</v>
      </c>
      <c r="O23" s="1">
        <v>2</v>
      </c>
      <c r="P23" s="1">
        <f>O23*E23</f>
        <v>4</v>
      </c>
    </row>
    <row r="24" spans="1:17" x14ac:dyDescent="0.25">
      <c r="A24" s="37"/>
      <c r="B24" s="41"/>
      <c r="C24" s="1" t="s">
        <v>456</v>
      </c>
      <c r="D24" s="1" t="s">
        <v>457</v>
      </c>
      <c r="E24" s="1"/>
      <c r="G24" s="1"/>
      <c r="H24" s="1"/>
      <c r="I24" s="1"/>
      <c r="J24" s="1"/>
      <c r="L24" s="1"/>
      <c r="M24" s="1"/>
      <c r="O24" s="1"/>
      <c r="P24" s="1"/>
    </row>
    <row r="25" spans="1:17" x14ac:dyDescent="0.25">
      <c r="A25" s="37"/>
      <c r="B25" s="41"/>
      <c r="C25" s="1" t="s">
        <v>455</v>
      </c>
      <c r="D25" s="1" t="s">
        <v>457</v>
      </c>
      <c r="E25" s="1">
        <v>4</v>
      </c>
      <c r="G25" s="1">
        <v>0</v>
      </c>
      <c r="H25" s="1">
        <v>340</v>
      </c>
      <c r="I25" s="1"/>
      <c r="J25" s="1"/>
      <c r="L25" s="1">
        <v>0</v>
      </c>
      <c r="M25" s="1">
        <f>L25*E25</f>
        <v>0</v>
      </c>
      <c r="O25" s="1">
        <v>30</v>
      </c>
      <c r="P25" s="1">
        <f>O25*E25</f>
        <v>120</v>
      </c>
    </row>
    <row r="26" spans="1:17" x14ac:dyDescent="0.25">
      <c r="A26" s="37"/>
      <c r="B26" s="41"/>
      <c r="C26" s="1" t="s">
        <v>448</v>
      </c>
      <c r="D26" s="1"/>
      <c r="E26" s="1"/>
      <c r="G26" s="1"/>
      <c r="H26" s="1"/>
      <c r="I26" s="1"/>
      <c r="J26" s="1"/>
      <c r="L26" s="1"/>
      <c r="M26" s="1"/>
      <c r="O26" s="1"/>
      <c r="P26" s="1"/>
    </row>
    <row r="27" spans="1:17" x14ac:dyDescent="0.25">
      <c r="A27" s="37"/>
      <c r="B27" s="41"/>
      <c r="C27" s="1" t="s">
        <v>449</v>
      </c>
      <c r="D27" s="1" t="s">
        <v>446</v>
      </c>
      <c r="E27" s="1">
        <v>1.5</v>
      </c>
      <c r="G27" s="1">
        <v>20</v>
      </c>
      <c r="H27" s="1">
        <f t="shared" si="0"/>
        <v>30</v>
      </c>
      <c r="I27" s="1"/>
      <c r="J27" s="1"/>
      <c r="L27" s="1">
        <v>10</v>
      </c>
      <c r="M27" s="1">
        <f>L27*E27</f>
        <v>15</v>
      </c>
      <c r="O27" s="1">
        <v>10</v>
      </c>
      <c r="P27" s="1">
        <f>O27*E27</f>
        <v>15</v>
      </c>
    </row>
    <row r="28" spans="1:17" x14ac:dyDescent="0.25">
      <c r="A28" s="37"/>
      <c r="B28" s="41"/>
      <c r="C28" s="1" t="s">
        <v>450</v>
      </c>
      <c r="D28" s="1"/>
      <c r="E28" s="1"/>
      <c r="G28" s="1"/>
      <c r="H28" s="1"/>
      <c r="I28" s="1"/>
      <c r="J28" s="1"/>
      <c r="L28" s="1"/>
      <c r="M28" s="1"/>
      <c r="O28" s="1"/>
      <c r="P28" s="1"/>
    </row>
    <row r="29" spans="1:17" x14ac:dyDescent="0.25">
      <c r="A29" s="37"/>
      <c r="B29" s="41"/>
      <c r="C29" s="1" t="s">
        <v>451</v>
      </c>
      <c r="D29" s="1"/>
      <c r="E29" s="1"/>
      <c r="G29" s="1"/>
      <c r="H29" s="1"/>
      <c r="I29" s="1"/>
      <c r="J29" s="1"/>
      <c r="L29" s="1"/>
      <c r="M29" s="1"/>
      <c r="O29" s="1"/>
      <c r="P29" s="1"/>
    </row>
    <row r="30" spans="1:17" x14ac:dyDescent="0.25">
      <c r="A30" s="37"/>
      <c r="B30" s="41"/>
      <c r="C30" s="1" t="s">
        <v>452</v>
      </c>
      <c r="D30" s="1"/>
      <c r="E30" s="1"/>
      <c r="G30" s="1"/>
      <c r="H30" s="1"/>
      <c r="I30" s="1"/>
      <c r="J30" s="1"/>
      <c r="L30" s="1"/>
      <c r="M30" s="1"/>
      <c r="O30" s="1"/>
      <c r="P30" s="1"/>
    </row>
    <row r="31" spans="1:17" x14ac:dyDescent="0.25">
      <c r="B31" s="1"/>
      <c r="C31" s="1"/>
      <c r="D31" s="1"/>
      <c r="E31" s="1"/>
      <c r="G31" s="1"/>
      <c r="H31" s="1"/>
      <c r="I31" s="1"/>
      <c r="J31" s="1"/>
      <c r="K31" s="25"/>
      <c r="L31" s="1"/>
      <c r="M31" s="1"/>
      <c r="O31" s="1"/>
      <c r="P31" s="1"/>
    </row>
    <row r="32" spans="1:17" x14ac:dyDescent="0.25">
      <c r="A32" s="17"/>
      <c r="B32" s="7"/>
      <c r="C32" s="7" t="s">
        <v>18</v>
      </c>
      <c r="D32" s="7"/>
      <c r="E32" s="7"/>
      <c r="F32" s="17"/>
      <c r="G32" s="7"/>
      <c r="H32" s="7">
        <f>SUM(H12:H31)</f>
        <v>475</v>
      </c>
      <c r="I32" s="7"/>
      <c r="J32" s="7"/>
      <c r="K32" s="46"/>
      <c r="L32" s="7"/>
      <c r="M32" s="7">
        <f>SUM(M21:M31)</f>
        <v>15</v>
      </c>
      <c r="N32" s="17"/>
      <c r="O32" s="7"/>
      <c r="P32" s="7">
        <f>SUM(P9:P31)</f>
        <v>219</v>
      </c>
      <c r="Q32" s="17"/>
    </row>
    <row r="33" spans="1:16" x14ac:dyDescent="0.25">
      <c r="A33" s="8"/>
      <c r="B33" s="9"/>
      <c r="C33" s="1"/>
      <c r="D33" s="1"/>
      <c r="E33" s="1"/>
      <c r="G33" s="9"/>
      <c r="H33" s="9"/>
      <c r="I33" s="9"/>
      <c r="J33" s="9"/>
      <c r="K33" s="8"/>
      <c r="L33" s="9"/>
      <c r="M33" s="9"/>
      <c r="N33" s="8"/>
      <c r="O33" s="9"/>
      <c r="P33" s="1"/>
    </row>
    <row r="36" spans="1:16" x14ac:dyDescent="0.25">
      <c r="C36" t="s">
        <v>458</v>
      </c>
    </row>
    <row r="37" spans="1:16" x14ac:dyDescent="0.25">
      <c r="C37" t="s">
        <v>459</v>
      </c>
    </row>
  </sheetData>
  <mergeCells count="2">
    <mergeCell ref="L6:M6"/>
    <mergeCell ref="O6:P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CODES</vt:lpstr>
      <vt:lpstr>Chicken Prjects -BROILERS</vt:lpstr>
      <vt:lpstr>Chicken Prjects - LAYERS</vt:lpstr>
      <vt:lpstr>Agric Machines -INCUBATORS</vt:lpstr>
      <vt:lpstr>Events Man- PA systems</vt:lpstr>
      <vt:lpstr>Entertainment - Bar Equipment</vt:lpstr>
      <vt:lpstr>Events Man -VENUE SET UP</vt:lpstr>
      <vt:lpstr>Tailoring -SEWING MACHINES</vt:lpstr>
      <vt:lpstr>Personal Dev-DRIVERS LICENSE</vt:lpstr>
      <vt:lpstr>SALOON EQUIPMENT</vt:lpstr>
      <vt:lpstr>BARBER</vt:lpstr>
      <vt:lpstr>BRAIDING ,WEAVING,WIG INSTAL</vt:lpstr>
      <vt:lpstr>NAILS</vt:lpstr>
      <vt:lpstr>MAKE -UP</vt:lpstr>
      <vt:lpstr>Personal Dev-VOCATIONAL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2026-02-04T14:13:52Z</dcterms:created>
  <dcterms:modified xsi:type="dcterms:W3CDTF">2026-02-15T13:20:36Z</dcterms:modified>
</cp:coreProperties>
</file>